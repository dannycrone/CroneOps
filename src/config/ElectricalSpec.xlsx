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autoCompressPictures="0"/>
  <mc:AlternateContent xmlns:mc="http://schemas.openxmlformats.org/markup-compatibility/2006">
    <mc:Choice Requires="x15">
      <x15ac:absPath xmlns:x15ac="http://schemas.microsoft.com/office/spreadsheetml/2010/11/ac" url="C:\Users\DannyCrone\repos\CroneOps\src\config\"/>
    </mc:Choice>
  </mc:AlternateContent>
  <xr:revisionPtr revIDLastSave="0" documentId="13_ncr:1_{6938579E-CC48-404C-B1EE-28CFEBBF0844}" xr6:coauthVersionLast="47" xr6:coauthVersionMax="47" xr10:uidLastSave="{00000000-0000-0000-0000-000000000000}"/>
  <bookViews>
    <workbookView xWindow="-120" yWindow="-120" windowWidth="29040" windowHeight="15720" tabRatio="500" firstSheet="3" activeTab="8" xr2:uid="{00000000-000D-0000-FFFF-FFFF00000000}"/>
  </bookViews>
  <sheets>
    <sheet name="Network" sheetId="3" r:id="rId1"/>
    <sheet name="Schedule" sheetId="4" r:id="rId2"/>
    <sheet name="CircuitTypes" sheetId="12" r:id="rId3"/>
    <sheet name="Sheet1" sheetId="15" r:id="rId4"/>
    <sheet name="Shelly Devices" sheetId="8" r:id="rId5"/>
    <sheet name="Shelly to Cable" sheetId="14" r:id="rId6"/>
    <sheet name="Actions" sheetId="13" r:id="rId7"/>
    <sheet name="Shelly Codes" sheetId="6" r:id="rId8"/>
    <sheet name="IP Configuration" sheetId="7" r:id="rId9"/>
    <sheet name="Rooms" sheetId="11" r:id="rId10"/>
    <sheet name="States" sheetId="10" r:id="rId11"/>
    <sheet name="WebHooks" sheetId="9" r:id="rId12"/>
    <sheet name="Energy Calcs" sheetId="16" r:id="rId13"/>
    <sheet name="MVHR" sheetId="17" r:id="rId14"/>
  </sheets>
  <definedNames>
    <definedName name="Brightness" localSheetId="5">Table7[Brightness]</definedName>
    <definedName name="Brightness">Table7[Brightness]</definedName>
    <definedName name="circuits" localSheetId="5">circuitoutputs[circuit]</definedName>
    <definedName name="circuits">circuitoutputs[circuit]</definedName>
    <definedName name="Events" localSheetId="5">inputEvents[Events]</definedName>
    <definedName name="Events">inputEvents[Events]</definedName>
    <definedName name="subnetStart">'IP Configuration'!$H$1</definedName>
    <definedName name="Trigger" localSheetId="5">SwitchButtons[switch]</definedName>
    <definedName name="Trigger">SwitchButtons[switch]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6" i="7" l="1"/>
  <c r="E6" i="7"/>
  <c r="D9" i="7"/>
  <c r="E9" i="7"/>
  <c r="B43" i="8"/>
  <c r="E43" i="8" s="1"/>
  <c r="C43" i="8"/>
  <c r="F43" i="8" a="1"/>
  <c r="F43" i="8" s="1"/>
  <c r="G43" i="8" a="1"/>
  <c r="G43" i="8" s="1"/>
  <c r="H43" i="8" a="1"/>
  <c r="H43" i="8" s="1"/>
  <c r="I43" i="8" a="1"/>
  <c r="I43" i="8" s="1"/>
  <c r="J43" i="8" a="1"/>
  <c r="J43" i="8" s="1"/>
  <c r="K43" i="8" a="1"/>
  <c r="K43" i="8" s="1"/>
  <c r="L43" i="8" a="1"/>
  <c r="L43" i="8" s="1"/>
  <c r="M43" i="8" a="1"/>
  <c r="M43" i="8" s="1"/>
  <c r="C41" i="8"/>
  <c r="B42" i="8"/>
  <c r="C42" i="8"/>
  <c r="F42" i="8" a="1"/>
  <c r="F42" i="8" s="1"/>
  <c r="G42" i="8" a="1"/>
  <c r="G42" i="8" s="1"/>
  <c r="H42" i="8" a="1"/>
  <c r="H42" i="8" s="1"/>
  <c r="I42" i="8" a="1"/>
  <c r="I42" i="8" s="1"/>
  <c r="J42" i="8" a="1"/>
  <c r="J42" i="8" s="1"/>
  <c r="K42" i="8" a="1"/>
  <c r="K42" i="8" s="1"/>
  <c r="L42" i="8" a="1"/>
  <c r="L42" i="8" s="1"/>
  <c r="M42" i="8" a="1"/>
  <c r="M42" i="8" s="1"/>
  <c r="B41" i="8"/>
  <c r="F41" i="8" a="1"/>
  <c r="F41" i="8" s="1"/>
  <c r="G41" i="8" a="1"/>
  <c r="G41" i="8" s="1"/>
  <c r="H41" i="8" a="1"/>
  <c r="H41" i="8" s="1"/>
  <c r="I41" i="8" a="1"/>
  <c r="I41" i="8" s="1"/>
  <c r="J41" i="8" a="1"/>
  <c r="J41" i="8" s="1"/>
  <c r="K41" i="8" a="1"/>
  <c r="K41" i="8" s="1"/>
  <c r="L41" i="8" a="1"/>
  <c r="L41" i="8" s="1"/>
  <c r="M41" i="8" a="1"/>
  <c r="M41" i="8" s="1"/>
  <c r="B40" i="8"/>
  <c r="C40" i="8"/>
  <c r="F40" i="8" a="1"/>
  <c r="F40" i="8" s="1"/>
  <c r="G40" i="8" a="1"/>
  <c r="G40" i="8" s="1"/>
  <c r="H40" i="8" a="1"/>
  <c r="H40" i="8" s="1"/>
  <c r="I40" i="8" a="1"/>
  <c r="I40" i="8" s="1"/>
  <c r="J40" i="8" a="1"/>
  <c r="J40" i="8" s="1"/>
  <c r="K40" i="8" a="1"/>
  <c r="K40" i="8" s="1"/>
  <c r="L40" i="8" a="1"/>
  <c r="L40" i="8" s="1"/>
  <c r="M40" i="8" a="1"/>
  <c r="M40" i="8" s="1"/>
  <c r="B39" i="8"/>
  <c r="C39" i="8"/>
  <c r="F39" i="8" a="1"/>
  <c r="F39" i="8" s="1"/>
  <c r="G39" i="8" a="1"/>
  <c r="G39" i="8" s="1"/>
  <c r="H39" i="8" a="1"/>
  <c r="H39" i="8" s="1"/>
  <c r="I39" i="8" a="1"/>
  <c r="I39" i="8" s="1"/>
  <c r="J39" i="8" a="1"/>
  <c r="J39" i="8" s="1"/>
  <c r="K39" i="8" a="1"/>
  <c r="K39" i="8" s="1"/>
  <c r="L39" i="8" a="1"/>
  <c r="L39" i="8" s="1"/>
  <c r="M39" i="8" a="1"/>
  <c r="M39" i="8" s="1"/>
  <c r="D8" i="7"/>
  <c r="E8" i="7"/>
  <c r="B38" i="8"/>
  <c r="C38" i="8"/>
  <c r="F38" i="8" a="1"/>
  <c r="F38" i="8" s="1"/>
  <c r="G38" i="8" a="1"/>
  <c r="G38" i="8" s="1"/>
  <c r="H38" i="8" a="1"/>
  <c r="H38" i="8" s="1"/>
  <c r="I38" i="8" a="1"/>
  <c r="I38" i="8" s="1"/>
  <c r="J38" i="8" a="1"/>
  <c r="J38" i="8" s="1"/>
  <c r="K38" i="8" a="1"/>
  <c r="K38" i="8" s="1"/>
  <c r="L38" i="8" a="1"/>
  <c r="L38" i="8" s="1"/>
  <c r="M38" i="8" a="1"/>
  <c r="M38" i="8" s="1"/>
  <c r="E42" i="8" l="1"/>
  <c r="E39" i="8"/>
  <c r="E41" i="8"/>
  <c r="E40" i="8"/>
  <c r="E38" i="8"/>
  <c r="D7" i="7" l="1"/>
  <c r="E7" i="7"/>
  <c r="I220" i="13" l="1"/>
  <c r="J220" i="13"/>
  <c r="A72" i="4"/>
  <c r="B72" i="4"/>
  <c r="C72" i="4"/>
  <c r="S72" i="4"/>
  <c r="D5" i="7"/>
  <c r="E5" i="7"/>
  <c r="B2" i="14"/>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I6"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H21" i="14"/>
  <c r="H33" i="14"/>
  <c r="H35" i="14"/>
  <c r="H36" i="14"/>
  <c r="H37" i="14"/>
  <c r="G37" i="14"/>
  <c r="F37" i="14" a="1"/>
  <c r="F37" i="14" s="1"/>
  <c r="E37" i="14" a="1"/>
  <c r="E37" i="14" s="1"/>
  <c r="D37" i="14" a="1"/>
  <c r="D37" i="14" s="1"/>
  <c r="C37" i="14" a="1"/>
  <c r="C37" i="14" s="1"/>
  <c r="J135" i="13"/>
  <c r="I135" i="13"/>
  <c r="I124" i="13"/>
  <c r="J124" i="13"/>
  <c r="I398" i="13"/>
  <c r="J398" i="13"/>
  <c r="I397" i="13"/>
  <c r="J397" i="13"/>
  <c r="I396" i="13"/>
  <c r="J396" i="13"/>
  <c r="I395" i="13"/>
  <c r="J395" i="13"/>
  <c r="I394" i="13"/>
  <c r="J394" i="13"/>
  <c r="I393" i="13"/>
  <c r="J393" i="13"/>
  <c r="I392" i="13"/>
  <c r="J392" i="13"/>
  <c r="J391" i="13"/>
  <c r="I391" i="13"/>
  <c r="J390" i="13"/>
  <c r="I390" i="13"/>
  <c r="I389" i="13"/>
  <c r="J389" i="13"/>
  <c r="I388" i="13"/>
  <c r="J388" i="13"/>
  <c r="I387" i="13"/>
  <c r="J387" i="13"/>
  <c r="I386" i="13"/>
  <c r="J386" i="13"/>
  <c r="I385" i="13"/>
  <c r="J385" i="13"/>
  <c r="I384" i="13"/>
  <c r="J384" i="13"/>
  <c r="I383" i="13"/>
  <c r="J383" i="13"/>
  <c r="I382" i="13"/>
  <c r="J382" i="13"/>
  <c r="I381" i="13"/>
  <c r="J381" i="13"/>
  <c r="J380" i="13"/>
  <c r="I380" i="13"/>
  <c r="J379" i="13"/>
  <c r="I379" i="13"/>
  <c r="J378" i="13"/>
  <c r="I378" i="13"/>
  <c r="J377" i="13"/>
  <c r="I377" i="13"/>
  <c r="J376" i="13"/>
  <c r="I376" i="13"/>
  <c r="J375" i="13"/>
  <c r="I375" i="13"/>
  <c r="J374" i="13"/>
  <c r="I374" i="13"/>
  <c r="J373" i="13"/>
  <c r="I373" i="13"/>
  <c r="J370" i="13"/>
  <c r="I370" i="13"/>
  <c r="J369" i="13"/>
  <c r="I369" i="13"/>
  <c r="J368" i="13"/>
  <c r="I368" i="13"/>
  <c r="J367" i="13"/>
  <c r="I367" i="13"/>
  <c r="I372" i="13"/>
  <c r="J372" i="13"/>
  <c r="I371" i="13"/>
  <c r="J371" i="13"/>
  <c r="J366" i="13"/>
  <c r="I366" i="13"/>
  <c r="J365" i="13"/>
  <c r="I365" i="13"/>
  <c r="J364" i="13"/>
  <c r="I364" i="13"/>
  <c r="J363" i="13"/>
  <c r="I363" i="13"/>
  <c r="J358" i="13"/>
  <c r="I358" i="13"/>
  <c r="J357" i="13"/>
  <c r="I357" i="13"/>
  <c r="J356" i="13"/>
  <c r="I356" i="13"/>
  <c r="J355" i="13"/>
  <c r="I355" i="13"/>
  <c r="J354" i="13"/>
  <c r="I354" i="13"/>
  <c r="J353" i="13"/>
  <c r="I353" i="13"/>
  <c r="J352" i="13"/>
  <c r="I352" i="13"/>
  <c r="J351" i="13"/>
  <c r="I351" i="13"/>
  <c r="J350" i="13"/>
  <c r="I350" i="13"/>
  <c r="J349" i="13"/>
  <c r="I349" i="13"/>
  <c r="J341" i="13"/>
  <c r="I341" i="13"/>
  <c r="J340" i="13"/>
  <c r="I340" i="13"/>
  <c r="J339" i="13"/>
  <c r="I339" i="13"/>
  <c r="J338" i="13"/>
  <c r="I338" i="13"/>
  <c r="J337" i="13"/>
  <c r="I337" i="13"/>
  <c r="J336" i="13"/>
  <c r="I336" i="13"/>
  <c r="J335" i="13"/>
  <c r="I335" i="13"/>
  <c r="J334" i="13"/>
  <c r="I334" i="13"/>
  <c r="J333" i="13"/>
  <c r="I333" i="13"/>
  <c r="J332" i="13"/>
  <c r="I332" i="13"/>
  <c r="J331" i="13"/>
  <c r="I331" i="13"/>
  <c r="J330" i="13"/>
  <c r="I330" i="13"/>
  <c r="J329" i="13"/>
  <c r="I329" i="13"/>
  <c r="J328" i="13"/>
  <c r="I328" i="13"/>
  <c r="J327" i="13"/>
  <c r="I327" i="13"/>
  <c r="J346" i="13"/>
  <c r="I346" i="13"/>
  <c r="J345" i="13"/>
  <c r="I345" i="13"/>
  <c r="J344" i="13"/>
  <c r="I344" i="13"/>
  <c r="J343" i="13"/>
  <c r="I343" i="13"/>
  <c r="J342" i="13"/>
  <c r="I342" i="13"/>
  <c r="J326" i="13"/>
  <c r="I326" i="13"/>
  <c r="J325" i="13"/>
  <c r="I325" i="13"/>
  <c r="J324" i="13"/>
  <c r="I324" i="13"/>
  <c r="J323" i="13"/>
  <c r="I323" i="13"/>
  <c r="J322" i="13"/>
  <c r="I322" i="13"/>
  <c r="J321" i="13"/>
  <c r="I321" i="13"/>
  <c r="J320" i="13"/>
  <c r="I320" i="13"/>
  <c r="J319" i="13"/>
  <c r="I319" i="13"/>
  <c r="J318" i="13"/>
  <c r="I318" i="13"/>
  <c r="J317" i="13"/>
  <c r="I317" i="13"/>
  <c r="J316" i="13"/>
  <c r="I316" i="13"/>
  <c r="J315" i="13"/>
  <c r="I315" i="13"/>
  <c r="J314" i="13"/>
  <c r="I314" i="13"/>
  <c r="J313" i="13"/>
  <c r="I313" i="13"/>
  <c r="J312" i="13"/>
  <c r="I312" i="13"/>
  <c r="J311" i="13"/>
  <c r="I311" i="13"/>
  <c r="J310" i="13"/>
  <c r="I310" i="13"/>
  <c r="J309" i="13"/>
  <c r="I309" i="13"/>
  <c r="J308" i="13"/>
  <c r="I308" i="13"/>
  <c r="J307" i="13"/>
  <c r="I307" i="13"/>
  <c r="J306" i="13"/>
  <c r="I306" i="13"/>
  <c r="J305" i="13"/>
  <c r="I305" i="13"/>
  <c r="J304" i="13"/>
  <c r="I304" i="13"/>
  <c r="J303" i="13"/>
  <c r="I303" i="13"/>
  <c r="J302" i="13"/>
  <c r="I302" i="13"/>
  <c r="J301" i="13"/>
  <c r="I301" i="13"/>
  <c r="J300" i="13"/>
  <c r="I300" i="13"/>
  <c r="J299" i="13"/>
  <c r="I299" i="13"/>
  <c r="J298" i="13"/>
  <c r="I298" i="13"/>
  <c r="J297" i="13"/>
  <c r="I297" i="13"/>
  <c r="J296" i="13"/>
  <c r="I296" i="13"/>
  <c r="J295" i="13"/>
  <c r="I295" i="13"/>
  <c r="J294" i="13"/>
  <c r="I294" i="13"/>
  <c r="J293" i="13"/>
  <c r="I293" i="13"/>
  <c r="J292" i="13"/>
  <c r="I292" i="13"/>
  <c r="J291" i="13"/>
  <c r="I291" i="13"/>
  <c r="J290" i="13"/>
  <c r="I290" i="13"/>
  <c r="J289" i="13"/>
  <c r="I289" i="13"/>
  <c r="J288" i="13"/>
  <c r="I288" i="13"/>
  <c r="J287" i="13"/>
  <c r="I287" i="13"/>
  <c r="J286" i="13"/>
  <c r="I286" i="13"/>
  <c r="J285" i="13"/>
  <c r="I285" i="13"/>
  <c r="J284" i="13"/>
  <c r="I284" i="13"/>
  <c r="J283" i="13"/>
  <c r="I283" i="13"/>
  <c r="I347" i="13"/>
  <c r="I348" i="13"/>
  <c r="J347" i="13"/>
  <c r="J348" i="13"/>
  <c r="I266" i="13"/>
  <c r="I267" i="13"/>
  <c r="I268" i="13"/>
  <c r="I269" i="13"/>
  <c r="I270" i="13"/>
  <c r="I271" i="13"/>
  <c r="I272" i="13"/>
  <c r="I273" i="13"/>
  <c r="I274" i="13"/>
  <c r="I275" i="13"/>
  <c r="I276" i="13"/>
  <c r="J266" i="13"/>
  <c r="J267" i="13"/>
  <c r="J268" i="13"/>
  <c r="J269" i="13"/>
  <c r="J270" i="13"/>
  <c r="J271" i="13"/>
  <c r="J272" i="13"/>
  <c r="J273" i="13"/>
  <c r="J274" i="13"/>
  <c r="J275" i="13"/>
  <c r="J276" i="13"/>
  <c r="I280" i="13"/>
  <c r="I281" i="13"/>
  <c r="I282" i="13"/>
  <c r="J280" i="13"/>
  <c r="J281" i="13"/>
  <c r="J282" i="13"/>
  <c r="I265" i="13"/>
  <c r="I277" i="13"/>
  <c r="I278" i="13"/>
  <c r="I279" i="13"/>
  <c r="J265" i="13"/>
  <c r="J277" i="13"/>
  <c r="J278" i="13"/>
  <c r="J279" i="13"/>
  <c r="I261" i="13"/>
  <c r="I262" i="13"/>
  <c r="I263" i="13"/>
  <c r="I264" i="13"/>
  <c r="J261" i="13"/>
  <c r="J262" i="13"/>
  <c r="J263" i="13"/>
  <c r="J264" i="13"/>
  <c r="I362" i="13"/>
  <c r="J362" i="13"/>
  <c r="I361" i="13"/>
  <c r="J361" i="13"/>
  <c r="I360" i="13"/>
  <c r="J360" i="13"/>
  <c r="I359" i="13"/>
  <c r="J359" i="13"/>
  <c r="I260" i="13"/>
  <c r="J260" i="13"/>
  <c r="I259" i="13"/>
  <c r="J259" i="13"/>
  <c r="I258" i="13"/>
  <c r="J258" i="13"/>
  <c r="I257" i="13"/>
  <c r="J257" i="13"/>
  <c r="I256" i="13"/>
  <c r="J256" i="13"/>
  <c r="I255" i="13"/>
  <c r="J255" i="13"/>
  <c r="I254" i="13"/>
  <c r="J254" i="13"/>
  <c r="I253" i="13"/>
  <c r="J253" i="13"/>
  <c r="I252" i="13"/>
  <c r="J252" i="13"/>
  <c r="I251" i="13"/>
  <c r="J251" i="13"/>
  <c r="I250" i="13"/>
  <c r="J250" i="13"/>
  <c r="I249" i="13"/>
  <c r="J249" i="13"/>
  <c r="I248" i="13"/>
  <c r="J248" i="13"/>
  <c r="I247" i="13"/>
  <c r="J247" i="13"/>
  <c r="I246" i="13"/>
  <c r="J246" i="13"/>
  <c r="I245" i="13"/>
  <c r="J245" i="13"/>
  <c r="I244" i="13"/>
  <c r="J244" i="13"/>
  <c r="I243" i="13"/>
  <c r="J243" i="13"/>
  <c r="I242" i="13"/>
  <c r="J242" i="13"/>
  <c r="I241" i="13"/>
  <c r="J241" i="13"/>
  <c r="I240" i="13"/>
  <c r="J240" i="13"/>
  <c r="I239" i="13"/>
  <c r="J239" i="13"/>
  <c r="I238" i="13"/>
  <c r="J238" i="13"/>
  <c r="I237" i="13"/>
  <c r="J237" i="13"/>
  <c r="I236" i="13"/>
  <c r="J236" i="13"/>
  <c r="I235" i="13"/>
  <c r="J235" i="13"/>
  <c r="I234" i="13"/>
  <c r="J234" i="13"/>
  <c r="I233" i="13"/>
  <c r="J233" i="13"/>
  <c r="I232" i="13"/>
  <c r="J232" i="13"/>
  <c r="I231" i="13"/>
  <c r="J231" i="13"/>
  <c r="I230" i="13"/>
  <c r="J230" i="13"/>
  <c r="I229" i="13"/>
  <c r="J229" i="13"/>
  <c r="J228" i="13"/>
  <c r="I228" i="13"/>
  <c r="J227" i="13"/>
  <c r="I227" i="13"/>
  <c r="J226" i="13"/>
  <c r="I226" i="13"/>
  <c r="I223" i="13"/>
  <c r="J223" i="13"/>
  <c r="J225" i="13"/>
  <c r="I225" i="13"/>
  <c r="J224" i="13"/>
  <c r="I224" i="13"/>
  <c r="I222" i="13"/>
  <c r="J222" i="13"/>
  <c r="I221" i="13"/>
  <c r="J221" i="13"/>
  <c r="I219" i="13"/>
  <c r="J219" i="13"/>
  <c r="I218" i="13"/>
  <c r="J218" i="13"/>
  <c r="I217" i="13"/>
  <c r="J217" i="13"/>
  <c r="J216" i="13"/>
  <c r="I216" i="13"/>
  <c r="J215" i="13"/>
  <c r="I215" i="13"/>
  <c r="J214" i="13"/>
  <c r="I214" i="13"/>
  <c r="J213" i="13"/>
  <c r="I213" i="13"/>
  <c r="I212" i="13"/>
  <c r="J212" i="13"/>
  <c r="I211" i="13"/>
  <c r="J211" i="13"/>
  <c r="I210" i="13"/>
  <c r="J210" i="13"/>
  <c r="I209" i="13"/>
  <c r="J209" i="13"/>
  <c r="J208" i="13"/>
  <c r="I208" i="13"/>
  <c r="J207" i="13"/>
  <c r="I207" i="13"/>
  <c r="J206" i="13"/>
  <c r="I206" i="13"/>
  <c r="J205" i="13"/>
  <c r="I205" i="13"/>
  <c r="J204" i="13"/>
  <c r="I204" i="13"/>
  <c r="J203" i="13"/>
  <c r="I203" i="13"/>
  <c r="J202" i="13"/>
  <c r="I202" i="13"/>
  <c r="J201" i="13"/>
  <c r="I201" i="13"/>
  <c r="I200" i="13"/>
  <c r="J200" i="13"/>
  <c r="I199" i="13"/>
  <c r="J199" i="13"/>
  <c r="I198" i="13"/>
  <c r="J198" i="13"/>
  <c r="I197" i="13"/>
  <c r="J197" i="13"/>
  <c r="J196" i="13"/>
  <c r="I196" i="13"/>
  <c r="J195" i="13"/>
  <c r="I195" i="13"/>
  <c r="J194" i="13"/>
  <c r="I194" i="13"/>
  <c r="J193" i="13"/>
  <c r="I193" i="13"/>
  <c r="J192" i="13"/>
  <c r="I192" i="13"/>
  <c r="J191" i="13"/>
  <c r="I191" i="13"/>
  <c r="J190" i="13"/>
  <c r="I190" i="13"/>
  <c r="J189" i="13"/>
  <c r="I189" i="13"/>
  <c r="J188" i="13"/>
  <c r="I188" i="13"/>
  <c r="J187" i="13"/>
  <c r="I187" i="13"/>
  <c r="J186" i="13"/>
  <c r="I186" i="13"/>
  <c r="J185" i="13"/>
  <c r="I185" i="13"/>
  <c r="J184" i="13"/>
  <c r="I184" i="13"/>
  <c r="J183" i="13"/>
  <c r="I183" i="13"/>
  <c r="J182" i="13"/>
  <c r="I182" i="13"/>
  <c r="I181" i="13"/>
  <c r="J181" i="13"/>
  <c r="I180" i="13"/>
  <c r="J180" i="13"/>
  <c r="I179" i="13"/>
  <c r="J179" i="13"/>
  <c r="J178" i="13"/>
  <c r="I178" i="13"/>
  <c r="J177" i="13"/>
  <c r="I177" i="13"/>
  <c r="J176" i="13"/>
  <c r="I176" i="13"/>
  <c r="J175" i="13"/>
  <c r="I175" i="13"/>
  <c r="J174" i="13"/>
  <c r="I174" i="13"/>
  <c r="J173" i="13"/>
  <c r="I173" i="13"/>
  <c r="J172" i="13"/>
  <c r="I172" i="13"/>
  <c r="J171" i="13"/>
  <c r="I171" i="13"/>
  <c r="J170" i="13"/>
  <c r="I170" i="13"/>
  <c r="J169" i="13"/>
  <c r="I169" i="13"/>
  <c r="J168" i="13"/>
  <c r="I168" i="13"/>
  <c r="J167" i="13"/>
  <c r="I167" i="13"/>
  <c r="I166" i="13"/>
  <c r="J166" i="13"/>
  <c r="I165" i="13"/>
  <c r="J165" i="13"/>
  <c r="I164" i="13"/>
  <c r="J164" i="13"/>
  <c r="J163" i="13"/>
  <c r="I163" i="13"/>
  <c r="J162" i="13"/>
  <c r="I162" i="13"/>
  <c r="J161" i="13"/>
  <c r="I161" i="13"/>
  <c r="J160" i="13"/>
  <c r="I160" i="13"/>
  <c r="J159" i="13"/>
  <c r="I159" i="13"/>
  <c r="J158" i="13"/>
  <c r="I158" i="13"/>
  <c r="I157" i="13"/>
  <c r="J157" i="13"/>
  <c r="I156" i="13"/>
  <c r="J156" i="13"/>
  <c r="I155" i="13"/>
  <c r="J155" i="13"/>
  <c r="I154" i="13"/>
  <c r="J154" i="13"/>
  <c r="I153" i="13"/>
  <c r="J153" i="13"/>
  <c r="I152" i="13"/>
  <c r="J152" i="13"/>
  <c r="I137" i="13"/>
  <c r="J137" i="13"/>
  <c r="J151" i="13"/>
  <c r="I151" i="13"/>
  <c r="J150" i="13"/>
  <c r="I150" i="13"/>
  <c r="J149" i="13"/>
  <c r="I149" i="13"/>
  <c r="J148" i="13"/>
  <c r="I148" i="13"/>
  <c r="J147" i="13"/>
  <c r="I147" i="13"/>
  <c r="J146" i="13"/>
  <c r="I146" i="13"/>
  <c r="J145" i="13"/>
  <c r="I145" i="13"/>
  <c r="J144" i="13"/>
  <c r="I144" i="13"/>
  <c r="J143" i="13"/>
  <c r="I143" i="13"/>
  <c r="J142" i="13"/>
  <c r="I142" i="13"/>
  <c r="J141" i="13"/>
  <c r="I141" i="13"/>
  <c r="I140" i="13"/>
  <c r="J140" i="13"/>
  <c r="I139" i="13"/>
  <c r="J139" i="13"/>
  <c r="I138" i="13"/>
  <c r="J138" i="13"/>
  <c r="I136" i="13"/>
  <c r="J136" i="13"/>
  <c r="I110" i="13"/>
  <c r="J110" i="13"/>
  <c r="I111" i="13"/>
  <c r="J111" i="13"/>
  <c r="I112" i="13"/>
  <c r="J112" i="13"/>
  <c r="I113" i="13"/>
  <c r="J113" i="13"/>
  <c r="I114" i="13"/>
  <c r="J114" i="13"/>
  <c r="I115" i="13"/>
  <c r="J115" i="13"/>
  <c r="I116" i="13"/>
  <c r="J116" i="13"/>
  <c r="I117" i="13"/>
  <c r="J117" i="13"/>
  <c r="I118" i="13"/>
  <c r="J118" i="13"/>
  <c r="J134" i="13"/>
  <c r="I134" i="13"/>
  <c r="J133" i="13"/>
  <c r="I133" i="13"/>
  <c r="J132" i="13"/>
  <c r="I132" i="13"/>
  <c r="J131" i="13"/>
  <c r="I131" i="13"/>
  <c r="J130" i="13"/>
  <c r="I130" i="13"/>
  <c r="J129" i="13"/>
  <c r="I129" i="13"/>
  <c r="J128" i="13"/>
  <c r="I128" i="13"/>
  <c r="J127" i="13"/>
  <c r="I127" i="13"/>
  <c r="J126" i="13"/>
  <c r="I126" i="13"/>
  <c r="J125" i="13"/>
  <c r="I125" i="13"/>
  <c r="J123" i="13"/>
  <c r="I123" i="13"/>
  <c r="J122" i="13"/>
  <c r="I122" i="13"/>
  <c r="J121" i="13"/>
  <c r="I121" i="13"/>
  <c r="J120" i="13"/>
  <c r="I120" i="13"/>
  <c r="J119" i="13"/>
  <c r="I119" i="13"/>
  <c r="J109" i="13"/>
  <c r="I109" i="13"/>
  <c r="J108" i="13"/>
  <c r="I108" i="13"/>
  <c r="J107" i="13"/>
  <c r="I107" i="13"/>
  <c r="J106" i="13"/>
  <c r="I106" i="13"/>
  <c r="J105" i="13"/>
  <c r="I105" i="13"/>
  <c r="J104" i="13"/>
  <c r="I104" i="13"/>
  <c r="J103" i="13"/>
  <c r="I103" i="13"/>
  <c r="J102" i="13"/>
  <c r="I102" i="13"/>
  <c r="J101" i="13"/>
  <c r="I101" i="13"/>
  <c r="J100" i="13"/>
  <c r="I100" i="13"/>
  <c r="J99" i="13"/>
  <c r="I99" i="13"/>
  <c r="J98" i="13"/>
  <c r="I98" i="13"/>
  <c r="J97" i="13"/>
  <c r="I97" i="13"/>
  <c r="J96" i="13"/>
  <c r="I96" i="13"/>
  <c r="J95" i="13"/>
  <c r="I95" i="13"/>
  <c r="J94" i="13"/>
  <c r="I94" i="13"/>
  <c r="J93" i="13"/>
  <c r="I93" i="13"/>
  <c r="J92" i="13"/>
  <c r="I92" i="13"/>
  <c r="J91" i="13"/>
  <c r="I91" i="13"/>
  <c r="I90" i="13"/>
  <c r="J90" i="13"/>
  <c r="I89" i="13"/>
  <c r="J89" i="13"/>
  <c r="I88" i="13"/>
  <c r="J88" i="13"/>
  <c r="I87" i="13"/>
  <c r="J87" i="13"/>
  <c r="J86" i="13"/>
  <c r="I86" i="13"/>
  <c r="J85" i="13"/>
  <c r="I85" i="13"/>
  <c r="J84" i="13"/>
  <c r="I84" i="13"/>
  <c r="J83" i="13"/>
  <c r="I83" i="13"/>
  <c r="J82" i="13"/>
  <c r="I82" i="13"/>
  <c r="J81" i="13"/>
  <c r="I81" i="13"/>
  <c r="J80" i="13"/>
  <c r="I80" i="13"/>
  <c r="J79" i="13"/>
  <c r="I79" i="13"/>
  <c r="J78" i="13"/>
  <c r="I78" i="13"/>
  <c r="J77" i="13"/>
  <c r="I77" i="13"/>
  <c r="J76" i="13"/>
  <c r="I76" i="13"/>
  <c r="I75" i="13"/>
  <c r="J75" i="13"/>
  <c r="I74" i="13"/>
  <c r="J74" i="13"/>
  <c r="I73" i="13"/>
  <c r="J73" i="13"/>
  <c r="J72" i="13"/>
  <c r="I72" i="13"/>
  <c r="J71" i="13"/>
  <c r="I71" i="13"/>
  <c r="J70" i="13"/>
  <c r="I70" i="13"/>
  <c r="J69" i="13"/>
  <c r="I69" i="13"/>
  <c r="J68" i="13"/>
  <c r="I68" i="13"/>
  <c r="J67" i="13"/>
  <c r="I67" i="13"/>
  <c r="J66" i="13"/>
  <c r="I66" i="13"/>
  <c r="J65" i="13"/>
  <c r="I65" i="13"/>
  <c r="I64" i="13"/>
  <c r="J64" i="13"/>
  <c r="I63" i="13"/>
  <c r="J63" i="13"/>
  <c r="I62" i="13"/>
  <c r="J62" i="13"/>
  <c r="I61" i="13"/>
  <c r="J61" i="13"/>
  <c r="I60" i="13"/>
  <c r="J60" i="13"/>
  <c r="I58" i="13"/>
  <c r="J58" i="13"/>
  <c r="I42" i="13"/>
  <c r="I43" i="13"/>
  <c r="I44" i="13"/>
  <c r="J42" i="13"/>
  <c r="J43" i="13"/>
  <c r="J44" i="13"/>
  <c r="I59" i="13"/>
  <c r="J59" i="13"/>
  <c r="I57" i="13"/>
  <c r="J57" i="13"/>
  <c r="X72" i="4" l="1"/>
  <c r="AA72" i="4"/>
  <c r="W72" i="4"/>
  <c r="V72" i="4"/>
  <c r="U72" i="4"/>
  <c r="T72" i="4"/>
  <c r="Z72" i="4"/>
  <c r="Y72" i="4"/>
  <c r="J53" i="13"/>
  <c r="I53" i="13"/>
  <c r="J52" i="13"/>
  <c r="I52" i="13"/>
  <c r="J51" i="13"/>
  <c r="I51" i="13"/>
  <c r="J56" i="13"/>
  <c r="I56" i="13"/>
  <c r="J55" i="13"/>
  <c r="I55" i="13"/>
  <c r="J54" i="13"/>
  <c r="I54" i="13"/>
  <c r="I50" i="13"/>
  <c r="J50" i="13"/>
  <c r="I49" i="13"/>
  <c r="J49" i="13"/>
  <c r="I48" i="13"/>
  <c r="J48" i="13"/>
  <c r="J47" i="13"/>
  <c r="I47" i="13"/>
  <c r="J46" i="13"/>
  <c r="I46" i="13"/>
  <c r="J45" i="13"/>
  <c r="I45" i="13"/>
  <c r="I40" i="13"/>
  <c r="I41" i="13"/>
  <c r="J40" i="13"/>
  <c r="J41" i="13"/>
  <c r="I39" i="13"/>
  <c r="J39" i="13"/>
  <c r="J38" i="13"/>
  <c r="I38" i="13"/>
  <c r="J37" i="13"/>
  <c r="I37" i="13"/>
  <c r="J36" i="13"/>
  <c r="I36" i="13"/>
  <c r="I35" i="13"/>
  <c r="J35" i="13"/>
  <c r="I34" i="13"/>
  <c r="J34" i="13"/>
  <c r="I33" i="13"/>
  <c r="J33" i="13"/>
  <c r="I24" i="13"/>
  <c r="J24" i="13"/>
  <c r="I22" i="13"/>
  <c r="J22" i="13"/>
  <c r="I23" i="13"/>
  <c r="J23" i="13"/>
  <c r="I21" i="13"/>
  <c r="J21" i="13"/>
  <c r="I29" i="13"/>
  <c r="I30" i="13"/>
  <c r="I31" i="13"/>
  <c r="I32" i="13"/>
  <c r="J29" i="13"/>
  <c r="J30" i="13"/>
  <c r="J31" i="13"/>
  <c r="J32" i="13"/>
  <c r="I28" i="13"/>
  <c r="J28" i="13"/>
  <c r="I27" i="13"/>
  <c r="J27" i="13"/>
  <c r="I26" i="13" l="1"/>
  <c r="J26" i="13"/>
  <c r="I25" i="13"/>
  <c r="J25" i="13"/>
  <c r="I15" i="13" l="1"/>
  <c r="I16" i="13"/>
  <c r="I17" i="13"/>
  <c r="I18" i="13"/>
  <c r="I19" i="13"/>
  <c r="I20" i="13"/>
  <c r="J15" i="13"/>
  <c r="J16" i="13"/>
  <c r="J17" i="13"/>
  <c r="J18" i="13"/>
  <c r="J19" i="13"/>
  <c r="J20" i="13"/>
  <c r="I9" i="13"/>
  <c r="I10" i="13"/>
  <c r="I11" i="13"/>
  <c r="I12" i="13"/>
  <c r="I13" i="13"/>
  <c r="I14" i="13"/>
  <c r="J9" i="13"/>
  <c r="J10" i="13"/>
  <c r="J11" i="13"/>
  <c r="J12" i="13"/>
  <c r="J13" i="13"/>
  <c r="J14" i="13"/>
  <c r="I7" i="13"/>
  <c r="J7" i="13"/>
  <c r="I3" i="13"/>
  <c r="J3" i="13"/>
  <c r="I4" i="13"/>
  <c r="J4" i="13"/>
  <c r="I5" i="13"/>
  <c r="J5" i="13"/>
  <c r="I6" i="13"/>
  <c r="J6" i="13"/>
  <c r="J2" i="13"/>
  <c r="J8" i="13"/>
  <c r="I2" i="13"/>
  <c r="I8" i="13"/>
  <c r="S2" i="4" l="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I37" i="8" a="1"/>
  <c r="I37" i="8" s="1"/>
  <c r="H37" i="8" a="1"/>
  <c r="H37" i="8" s="1"/>
  <c r="G37" i="8" a="1"/>
  <c r="G37" i="8" s="1"/>
  <c r="F37" i="8" a="1"/>
  <c r="F37" i="8" s="1"/>
  <c r="O10" i="4"/>
  <c r="O187" i="4"/>
  <c r="B26" i="8"/>
  <c r="B27" i="8"/>
  <c r="B28" i="8"/>
  <c r="B29" i="8"/>
  <c r="B30" i="8"/>
  <c r="B31" i="8"/>
  <c r="B32" i="8"/>
  <c r="B33" i="8"/>
  <c r="B34" i="8"/>
  <c r="B35" i="8"/>
  <c r="B36" i="8"/>
  <c r="B37" i="8"/>
  <c r="C26" i="8"/>
  <c r="C27" i="8"/>
  <c r="C28" i="8"/>
  <c r="C29" i="8"/>
  <c r="C30" i="8"/>
  <c r="C31" i="8"/>
  <c r="C32" i="8"/>
  <c r="C33" i="8"/>
  <c r="C34" i="8"/>
  <c r="C35" i="8"/>
  <c r="C36" i="8"/>
  <c r="C37" i="8"/>
  <c r="J26" i="8" a="1"/>
  <c r="J26" i="8" s="1"/>
  <c r="J27" i="8" a="1"/>
  <c r="J27" i="8" s="1"/>
  <c r="J28" i="8" a="1"/>
  <c r="J28" i="8" s="1"/>
  <c r="J29" i="8" a="1"/>
  <c r="J29" i="8" s="1"/>
  <c r="J30" i="8" a="1"/>
  <c r="J30" i="8" s="1"/>
  <c r="J31" i="8" a="1"/>
  <c r="J31" i="8" s="1"/>
  <c r="J32" i="8" a="1"/>
  <c r="J32" i="8" s="1"/>
  <c r="J33" i="8" a="1"/>
  <c r="J33" i="8" s="1"/>
  <c r="J34" i="8" a="1"/>
  <c r="J34" i="8" s="1"/>
  <c r="J35" i="8" a="1"/>
  <c r="J35" i="8" s="1"/>
  <c r="J36" i="8" a="1"/>
  <c r="J36" i="8" s="1"/>
  <c r="J37" i="8" a="1"/>
  <c r="J37" i="8" s="1"/>
  <c r="K26" i="8" a="1"/>
  <c r="K26" i="8" s="1"/>
  <c r="K27" i="8" a="1"/>
  <c r="K27" i="8" s="1"/>
  <c r="K28" i="8" a="1"/>
  <c r="K28" i="8" s="1"/>
  <c r="K29" i="8" a="1"/>
  <c r="K29" i="8" s="1"/>
  <c r="K30" i="8" a="1"/>
  <c r="K30" i="8" s="1"/>
  <c r="K31" i="8" a="1"/>
  <c r="K31" i="8" s="1"/>
  <c r="K32" i="8" a="1"/>
  <c r="K32" i="8" s="1"/>
  <c r="K33" i="8" a="1"/>
  <c r="K33" i="8" s="1"/>
  <c r="K34" i="8" a="1"/>
  <c r="K34" i="8" s="1"/>
  <c r="K35" i="8" a="1"/>
  <c r="K35" i="8" s="1"/>
  <c r="K36" i="8" a="1"/>
  <c r="K36" i="8" s="1"/>
  <c r="K37" i="8" a="1"/>
  <c r="K37" i="8" s="1"/>
  <c r="L26" i="8" a="1"/>
  <c r="L26" i="8" s="1"/>
  <c r="L27" i="8" a="1"/>
  <c r="L27" i="8" s="1"/>
  <c r="L28" i="8" a="1"/>
  <c r="L28" i="8" s="1"/>
  <c r="L29" i="8" a="1"/>
  <c r="L29" i="8" s="1"/>
  <c r="L30" i="8" a="1"/>
  <c r="L30" i="8" s="1"/>
  <c r="L31" i="8" a="1"/>
  <c r="L31" i="8" s="1"/>
  <c r="L32" i="8" a="1"/>
  <c r="L32" i="8" s="1"/>
  <c r="L33" i="8" a="1"/>
  <c r="L33" i="8" s="1"/>
  <c r="L34" i="8" a="1"/>
  <c r="L34" i="8" s="1"/>
  <c r="L35" i="8" a="1"/>
  <c r="L35" i="8" s="1"/>
  <c r="L36" i="8" a="1"/>
  <c r="L36" i="8" s="1"/>
  <c r="L37" i="8" a="1"/>
  <c r="L37" i="8" s="1"/>
  <c r="M26" i="8" a="1"/>
  <c r="M26" i="8" s="1"/>
  <c r="M27" i="8" a="1"/>
  <c r="M27" i="8" s="1"/>
  <c r="M28" i="8" a="1"/>
  <c r="M28" i="8" s="1"/>
  <c r="M29" i="8" a="1"/>
  <c r="M29" i="8" s="1"/>
  <c r="M30" i="8" a="1"/>
  <c r="M30" i="8" s="1"/>
  <c r="M31" i="8" a="1"/>
  <c r="M31" i="8" s="1"/>
  <c r="M32" i="8" a="1"/>
  <c r="M32" i="8" s="1"/>
  <c r="M33" i="8" a="1"/>
  <c r="M33" i="8" s="1"/>
  <c r="M34" i="8" a="1"/>
  <c r="M34" i="8" s="1"/>
  <c r="M35" i="8" a="1"/>
  <c r="M35" i="8" s="1"/>
  <c r="M36" i="8" a="1"/>
  <c r="M36" i="8" s="1"/>
  <c r="M37" i="8" a="1"/>
  <c r="M37" i="8" s="1"/>
  <c r="B5" i="8"/>
  <c r="B6" i="8"/>
  <c r="B7" i="8"/>
  <c r="C5" i="8"/>
  <c r="C6" i="8"/>
  <c r="C7" i="8"/>
  <c r="J5" i="8" a="1"/>
  <c r="J5" i="8" s="1"/>
  <c r="J6" i="8" a="1"/>
  <c r="J6" i="8" s="1"/>
  <c r="J7" i="8" a="1"/>
  <c r="J7" i="8" s="1"/>
  <c r="K5" i="8" a="1"/>
  <c r="K5" i="8" s="1"/>
  <c r="K6" i="8" a="1"/>
  <c r="K6" i="8" s="1"/>
  <c r="K7" i="8" a="1"/>
  <c r="K7" i="8" s="1"/>
  <c r="L5" i="8" a="1"/>
  <c r="L5" i="8" s="1"/>
  <c r="L6" i="8" a="1"/>
  <c r="L6" i="8" s="1"/>
  <c r="L7" i="8" a="1"/>
  <c r="L7" i="8" s="1"/>
  <c r="M5" i="8" a="1"/>
  <c r="M5" i="8" s="1"/>
  <c r="M6" i="8" a="1"/>
  <c r="M6" i="8" s="1"/>
  <c r="M7" i="8" a="1"/>
  <c r="M7" i="8" s="1"/>
  <c r="C2" i="8"/>
  <c r="C3" i="8"/>
  <c r="C4" i="8"/>
  <c r="C8" i="8"/>
  <c r="C9" i="8"/>
  <c r="C10" i="8"/>
  <c r="C11" i="8"/>
  <c r="C12" i="8"/>
  <c r="C13" i="8"/>
  <c r="C14" i="8"/>
  <c r="C15" i="8"/>
  <c r="C16" i="8"/>
  <c r="C17" i="8"/>
  <c r="C18" i="8"/>
  <c r="C19" i="8"/>
  <c r="C20" i="8"/>
  <c r="C21" i="8"/>
  <c r="C22" i="8"/>
  <c r="C23" i="8"/>
  <c r="C24" i="8"/>
  <c r="C25" i="8"/>
  <c r="B2" i="8"/>
  <c r="B3" i="8"/>
  <c r="B4" i="8"/>
  <c r="B8" i="8"/>
  <c r="B9" i="8"/>
  <c r="B10" i="8"/>
  <c r="B11" i="8"/>
  <c r="B12" i="8"/>
  <c r="B13" i="8"/>
  <c r="B14" i="8"/>
  <c r="B15" i="8"/>
  <c r="B16" i="8"/>
  <c r="B17" i="8"/>
  <c r="B18" i="8"/>
  <c r="B19" i="8"/>
  <c r="B20" i="8"/>
  <c r="B21" i="8"/>
  <c r="B22" i="8"/>
  <c r="B23" i="8"/>
  <c r="B24" i="8"/>
  <c r="B25" i="8"/>
  <c r="J10" i="8" a="1"/>
  <c r="J10" i="8" s="1"/>
  <c r="K10" i="8" a="1"/>
  <c r="K10" i="8" s="1"/>
  <c r="L10" i="8" a="1"/>
  <c r="L10" i="8" s="1"/>
  <c r="M10" i="8" a="1"/>
  <c r="M10" i="8" s="1"/>
  <c r="J11" i="8" a="1"/>
  <c r="J11" i="8" s="1"/>
  <c r="K11" i="8" a="1"/>
  <c r="K11" i="8" s="1"/>
  <c r="L11" i="8" a="1"/>
  <c r="L11" i="8" s="1"/>
  <c r="M11" i="8" a="1"/>
  <c r="M11" i="8" s="1"/>
  <c r="J12" i="8" a="1"/>
  <c r="J12" i="8" s="1"/>
  <c r="K12" i="8" a="1"/>
  <c r="K12" i="8" s="1"/>
  <c r="L12" i="8" a="1"/>
  <c r="L12" i="8" s="1"/>
  <c r="M12" i="8" a="1"/>
  <c r="M12" i="8" s="1"/>
  <c r="J13" i="8" a="1"/>
  <c r="J13" i="8" s="1"/>
  <c r="K13" i="8" a="1"/>
  <c r="K13" i="8" s="1"/>
  <c r="L13" i="8" a="1"/>
  <c r="L13" i="8" s="1"/>
  <c r="M13" i="8" a="1"/>
  <c r="M13" i="8" s="1"/>
  <c r="J14" i="8" a="1"/>
  <c r="J14" i="8" s="1"/>
  <c r="K14" i="8" a="1"/>
  <c r="K14" i="8" s="1"/>
  <c r="L14" i="8" a="1"/>
  <c r="L14" i="8" s="1"/>
  <c r="M14" i="8" a="1"/>
  <c r="M14" i="8" s="1"/>
  <c r="J15" i="8" a="1"/>
  <c r="J15" i="8" s="1"/>
  <c r="K15" i="8" a="1"/>
  <c r="K15" i="8" s="1"/>
  <c r="L15" i="8" a="1"/>
  <c r="L15" i="8" s="1"/>
  <c r="M15" i="8" a="1"/>
  <c r="M15" i="8" s="1"/>
  <c r="J16" i="8" a="1"/>
  <c r="J16" i="8" s="1"/>
  <c r="K16" i="8" a="1"/>
  <c r="K16" i="8" s="1"/>
  <c r="L16" i="8" a="1"/>
  <c r="L16" i="8" s="1"/>
  <c r="M16" i="8" a="1"/>
  <c r="M16" i="8" s="1"/>
  <c r="J17" i="8" a="1"/>
  <c r="J17" i="8" s="1"/>
  <c r="K17" i="8" a="1"/>
  <c r="K17" i="8" s="1"/>
  <c r="L17" i="8" a="1"/>
  <c r="L17" i="8" s="1"/>
  <c r="M17" i="8" a="1"/>
  <c r="M17" i="8" s="1"/>
  <c r="J18" i="8" a="1"/>
  <c r="J18" i="8" s="1"/>
  <c r="K18" i="8" a="1"/>
  <c r="K18" i="8" s="1"/>
  <c r="L18" i="8" a="1"/>
  <c r="L18" i="8" s="1"/>
  <c r="M18" i="8" a="1"/>
  <c r="M18" i="8" s="1"/>
  <c r="J19" i="8" a="1"/>
  <c r="J19" i="8" s="1"/>
  <c r="K19" i="8" a="1"/>
  <c r="K19" i="8" s="1"/>
  <c r="L19" i="8" a="1"/>
  <c r="L19" i="8" s="1"/>
  <c r="M19" i="8" a="1"/>
  <c r="M19" i="8" s="1"/>
  <c r="J20" i="8" a="1"/>
  <c r="J20" i="8" s="1"/>
  <c r="K20" i="8" a="1"/>
  <c r="K20" i="8" s="1"/>
  <c r="L20" i="8" a="1"/>
  <c r="L20" i="8" s="1"/>
  <c r="M20" i="8" a="1"/>
  <c r="M20" i="8" s="1"/>
  <c r="J21" i="8" a="1"/>
  <c r="J21" i="8" s="1"/>
  <c r="K21" i="8" a="1"/>
  <c r="K21" i="8" s="1"/>
  <c r="L21" i="8" a="1"/>
  <c r="L21" i="8" s="1"/>
  <c r="M21" i="8" a="1"/>
  <c r="M21" i="8" s="1"/>
  <c r="J22" i="8" a="1"/>
  <c r="J22" i="8" s="1"/>
  <c r="K22" i="8" a="1"/>
  <c r="K22" i="8" s="1"/>
  <c r="L22" i="8" a="1"/>
  <c r="L22" i="8" s="1"/>
  <c r="M22" i="8" a="1"/>
  <c r="M22" i="8" s="1"/>
  <c r="E2" i="7"/>
  <c r="E3" i="7"/>
  <c r="E4" i="7"/>
  <c r="D2" i="7"/>
  <c r="D3" i="7"/>
  <c r="D4" i="7"/>
  <c r="O25" i="4"/>
  <c r="B99" i="4"/>
  <c r="A99" i="4"/>
  <c r="H20" i="14" s="1"/>
  <c r="C99" i="4"/>
  <c r="E2" i="9"/>
  <c r="H2" i="10"/>
  <c r="H3" i="10"/>
  <c r="H4" i="10"/>
  <c r="H5" i="10"/>
  <c r="H6" i="10"/>
  <c r="H7" i="10"/>
  <c r="J25" i="8" a="1"/>
  <c r="J25" i="8" s="1"/>
  <c r="K25" i="8" a="1"/>
  <c r="K25" i="8" s="1"/>
  <c r="L25" i="8" a="1"/>
  <c r="L25" i="8" s="1"/>
  <c r="M25" i="8" a="1"/>
  <c r="M25" i="8" s="1"/>
  <c r="J24" i="8" a="1"/>
  <c r="J24" i="8" s="1"/>
  <c r="K24" i="8" a="1"/>
  <c r="K24" i="8" s="1"/>
  <c r="L24" i="8" a="1"/>
  <c r="L24" i="8" s="1"/>
  <c r="M24" i="8" a="1"/>
  <c r="M24" i="8" s="1"/>
  <c r="J23" i="8" a="1"/>
  <c r="J23" i="8" s="1"/>
  <c r="K23" i="8" a="1"/>
  <c r="K23" i="8" s="1"/>
  <c r="L23" i="8" a="1"/>
  <c r="L23" i="8" s="1"/>
  <c r="M23" i="8" a="1"/>
  <c r="M23" i="8" s="1"/>
  <c r="U190" i="4" l="1"/>
  <c r="Z190" i="4"/>
  <c r="Y190" i="4"/>
  <c r="AA190" i="4"/>
  <c r="X190" i="4"/>
  <c r="U166" i="4"/>
  <c r="Z166" i="4"/>
  <c r="AA166" i="4"/>
  <c r="Y166" i="4"/>
  <c r="X166" i="4"/>
  <c r="U142" i="4"/>
  <c r="Z142" i="4"/>
  <c r="X142" i="4"/>
  <c r="Y142" i="4"/>
  <c r="AA142" i="4"/>
  <c r="U118" i="4"/>
  <c r="Z118" i="4"/>
  <c r="X118" i="4"/>
  <c r="Y118" i="4"/>
  <c r="AA118" i="4"/>
  <c r="U102" i="4"/>
  <c r="Z102" i="4"/>
  <c r="Y102" i="4"/>
  <c r="X102" i="4"/>
  <c r="U69" i="4"/>
  <c r="Z69" i="4"/>
  <c r="AA69" i="4"/>
  <c r="Y69" i="4"/>
  <c r="X69" i="4"/>
  <c r="U61" i="4"/>
  <c r="Z61" i="4"/>
  <c r="Y61" i="4"/>
  <c r="X61" i="4"/>
  <c r="AA61" i="4"/>
  <c r="U53" i="4"/>
  <c r="Z53" i="4"/>
  <c r="Y53" i="4"/>
  <c r="X53" i="4"/>
  <c r="AA53" i="4"/>
  <c r="W202" i="4"/>
  <c r="Z202" i="4"/>
  <c r="Y202" i="4"/>
  <c r="AA202" i="4"/>
  <c r="X202" i="4"/>
  <c r="W194" i="4"/>
  <c r="Y194" i="4"/>
  <c r="X194" i="4"/>
  <c r="Z194" i="4"/>
  <c r="AA194" i="4"/>
  <c r="W186" i="4"/>
  <c r="AA186" i="4"/>
  <c r="Y186" i="4"/>
  <c r="X186" i="4"/>
  <c r="Z186" i="4"/>
  <c r="W178" i="4"/>
  <c r="Z178" i="4"/>
  <c r="AA178" i="4"/>
  <c r="Y178" i="4"/>
  <c r="X178" i="4"/>
  <c r="W170" i="4"/>
  <c r="AA170" i="4"/>
  <c r="Z170" i="4"/>
  <c r="Y170" i="4"/>
  <c r="X170" i="4"/>
  <c r="W162" i="4"/>
  <c r="Y162" i="4"/>
  <c r="Z162" i="4"/>
  <c r="X162" i="4"/>
  <c r="AA162" i="4"/>
  <c r="W154" i="4"/>
  <c r="Y154" i="4"/>
  <c r="AA154" i="4"/>
  <c r="X154" i="4"/>
  <c r="Z154" i="4"/>
  <c r="W146" i="4"/>
  <c r="Z146" i="4"/>
  <c r="AA146" i="4"/>
  <c r="Y146" i="4"/>
  <c r="X146" i="4"/>
  <c r="W138" i="4"/>
  <c r="Z138" i="4"/>
  <c r="Y138" i="4"/>
  <c r="AA138" i="4"/>
  <c r="X138" i="4"/>
  <c r="W130" i="4"/>
  <c r="Y130" i="4"/>
  <c r="X130" i="4"/>
  <c r="AA130" i="4"/>
  <c r="Z130" i="4"/>
  <c r="W106" i="4"/>
  <c r="AA106" i="4"/>
  <c r="Z106" i="4"/>
  <c r="Y106" i="4"/>
  <c r="X106" i="4"/>
  <c r="W98" i="4"/>
  <c r="Y98" i="4"/>
  <c r="AA98" i="4"/>
  <c r="Z98" i="4"/>
  <c r="X98" i="4"/>
  <c r="W90" i="4"/>
  <c r="Y90" i="4"/>
  <c r="AA90" i="4"/>
  <c r="Z90" i="4"/>
  <c r="X90" i="4"/>
  <c r="V74" i="4"/>
  <c r="Z74" i="4"/>
  <c r="AA74" i="4"/>
  <c r="Y74" i="4"/>
  <c r="X74" i="4"/>
  <c r="U65" i="4"/>
  <c r="Z65" i="4"/>
  <c r="Y65" i="4"/>
  <c r="X65" i="4"/>
  <c r="AA65" i="4"/>
  <c r="Z57" i="4"/>
  <c r="AA57" i="4"/>
  <c r="X57" i="4"/>
  <c r="Y57" i="4"/>
  <c r="V49" i="4"/>
  <c r="Z49" i="4"/>
  <c r="AA49" i="4"/>
  <c r="Y49" i="4"/>
  <c r="X49" i="4"/>
  <c r="Z41" i="4"/>
  <c r="AA41" i="4"/>
  <c r="Y41" i="4"/>
  <c r="X41" i="4"/>
  <c r="U33" i="4"/>
  <c r="Z33" i="4"/>
  <c r="AA33" i="4"/>
  <c r="Y33" i="4"/>
  <c r="X33" i="4"/>
  <c r="U25" i="4"/>
  <c r="Z25" i="4"/>
  <c r="Y25" i="4"/>
  <c r="AA25" i="4"/>
  <c r="X25" i="4"/>
  <c r="V17" i="4"/>
  <c r="Z17" i="4"/>
  <c r="AA17" i="4"/>
  <c r="X17" i="4"/>
  <c r="Y17" i="4"/>
  <c r="V9" i="4"/>
  <c r="Z9" i="4"/>
  <c r="Y9" i="4"/>
  <c r="AA9" i="4"/>
  <c r="X9" i="4"/>
  <c r="U182" i="4"/>
  <c r="Z182" i="4"/>
  <c r="Y182" i="4"/>
  <c r="AA182" i="4"/>
  <c r="X182" i="4"/>
  <c r="U158" i="4"/>
  <c r="Z158" i="4"/>
  <c r="AA158" i="4"/>
  <c r="Y158" i="4"/>
  <c r="X158" i="4"/>
  <c r="U134" i="4"/>
  <c r="Z134" i="4"/>
  <c r="AA134" i="4"/>
  <c r="X134" i="4"/>
  <c r="Y134" i="4"/>
  <c r="U110" i="4"/>
  <c r="Z110" i="4"/>
  <c r="Y110" i="4"/>
  <c r="AA110" i="4"/>
  <c r="X110" i="4"/>
  <c r="U86" i="4"/>
  <c r="Z86" i="4"/>
  <c r="Y86" i="4"/>
  <c r="X86" i="4"/>
  <c r="AA86" i="4"/>
  <c r="U45" i="4"/>
  <c r="Z45" i="4"/>
  <c r="AA45" i="4"/>
  <c r="X45" i="4"/>
  <c r="Y45" i="4"/>
  <c r="Z201" i="4"/>
  <c r="AA201" i="4"/>
  <c r="X201" i="4"/>
  <c r="Y201" i="4"/>
  <c r="U193" i="4"/>
  <c r="Y193" i="4"/>
  <c r="Z193" i="4"/>
  <c r="AA193" i="4"/>
  <c r="X193" i="4"/>
  <c r="T185" i="4"/>
  <c r="AA185" i="4"/>
  <c r="Y185" i="4"/>
  <c r="X185" i="4"/>
  <c r="AA177" i="4"/>
  <c r="Y177" i="4"/>
  <c r="Z177" i="4"/>
  <c r="X177" i="4"/>
  <c r="U169" i="4"/>
  <c r="Z169" i="4"/>
  <c r="Y169" i="4"/>
  <c r="AA169" i="4"/>
  <c r="X169" i="4"/>
  <c r="T161" i="4"/>
  <c r="X161" i="4"/>
  <c r="Y161" i="4"/>
  <c r="T153" i="4"/>
  <c r="AA153" i="4"/>
  <c r="Z153" i="4"/>
  <c r="Y153" i="4"/>
  <c r="X153" i="4"/>
  <c r="T145" i="4"/>
  <c r="AA145" i="4"/>
  <c r="X145" i="4"/>
  <c r="Z145" i="4"/>
  <c r="Y145" i="4"/>
  <c r="U137" i="4"/>
  <c r="Z137" i="4"/>
  <c r="X137" i="4"/>
  <c r="AA137" i="4"/>
  <c r="Y137" i="4"/>
  <c r="AA129" i="4"/>
  <c r="Y129" i="4"/>
  <c r="Z129" i="4"/>
  <c r="W121" i="4"/>
  <c r="AA121" i="4"/>
  <c r="Z121" i="4"/>
  <c r="X121" i="4"/>
  <c r="Y121" i="4"/>
  <c r="X113" i="4"/>
  <c r="Y113" i="4"/>
  <c r="AA113" i="4"/>
  <c r="Z113" i="4"/>
  <c r="U105" i="4"/>
  <c r="Z105" i="4"/>
  <c r="X105" i="4"/>
  <c r="AA105" i="4"/>
  <c r="Y105" i="4"/>
  <c r="W97" i="4"/>
  <c r="AA97" i="4"/>
  <c r="X97" i="4"/>
  <c r="Y97" i="4"/>
  <c r="Z97" i="4"/>
  <c r="T89" i="4"/>
  <c r="AA89" i="4"/>
  <c r="Z89" i="4"/>
  <c r="X89" i="4"/>
  <c r="Y89" i="4"/>
  <c r="T81" i="4"/>
  <c r="AA81" i="4"/>
  <c r="X81" i="4"/>
  <c r="Y81" i="4"/>
  <c r="Z81" i="4"/>
  <c r="U73" i="4"/>
  <c r="Z73" i="4"/>
  <c r="X73" i="4"/>
  <c r="AA73" i="4"/>
  <c r="Y73" i="4"/>
  <c r="X64" i="4"/>
  <c r="AA64" i="4"/>
  <c r="Y64" i="4"/>
  <c r="Z64" i="4"/>
  <c r="T56" i="4"/>
  <c r="AA56" i="4"/>
  <c r="Y56" i="4"/>
  <c r="X56" i="4"/>
  <c r="Z56" i="4"/>
  <c r="Z48" i="4"/>
  <c r="AA48" i="4"/>
  <c r="X48" i="4"/>
  <c r="Y48" i="4"/>
  <c r="U40" i="4"/>
  <c r="Y40" i="4"/>
  <c r="Z40" i="4"/>
  <c r="X40" i="4"/>
  <c r="AA40" i="4"/>
  <c r="Z32" i="4"/>
  <c r="AA32" i="4"/>
  <c r="Y32" i="4"/>
  <c r="X32" i="4"/>
  <c r="T24" i="4"/>
  <c r="AA24" i="4"/>
  <c r="X24" i="4"/>
  <c r="Y24" i="4"/>
  <c r="Z24" i="4"/>
  <c r="AA16" i="4"/>
  <c r="X16" i="4"/>
  <c r="Z16" i="4"/>
  <c r="Y16" i="4"/>
  <c r="Y8" i="4"/>
  <c r="Z8" i="4"/>
  <c r="X8" i="4"/>
  <c r="AA8" i="4"/>
  <c r="Z200" i="4"/>
  <c r="AA200" i="4"/>
  <c r="Y200" i="4"/>
  <c r="X200" i="4"/>
  <c r="Z192" i="4"/>
  <c r="AA192" i="4"/>
  <c r="Y192" i="4"/>
  <c r="X192" i="4"/>
  <c r="AA184" i="4"/>
  <c r="Z184" i="4"/>
  <c r="Y184" i="4"/>
  <c r="X184" i="4"/>
  <c r="V176" i="4"/>
  <c r="Z176" i="4"/>
  <c r="X176" i="4"/>
  <c r="AA176" i="4"/>
  <c r="Y176" i="4"/>
  <c r="Z168" i="4"/>
  <c r="Y168" i="4"/>
  <c r="X168" i="4"/>
  <c r="AA168" i="4"/>
  <c r="AA160" i="4"/>
  <c r="Z160" i="4"/>
  <c r="V152" i="4"/>
  <c r="AA152" i="4"/>
  <c r="Y152" i="4"/>
  <c r="X152" i="4"/>
  <c r="Z152" i="4"/>
  <c r="Z136" i="4"/>
  <c r="AA136" i="4"/>
  <c r="X136" i="4"/>
  <c r="Y136" i="4"/>
  <c r="Z128" i="4"/>
  <c r="AA128" i="4"/>
  <c r="Y128" i="4"/>
  <c r="X128" i="4"/>
  <c r="AA120" i="4"/>
  <c r="Z120" i="4"/>
  <c r="X120" i="4"/>
  <c r="Y120" i="4"/>
  <c r="V112" i="4"/>
  <c r="AA112" i="4"/>
  <c r="Z112" i="4"/>
  <c r="X112" i="4"/>
  <c r="Y112" i="4"/>
  <c r="Z104" i="4"/>
  <c r="X104" i="4"/>
  <c r="AA104" i="4"/>
  <c r="Y104" i="4"/>
  <c r="AA88" i="4"/>
  <c r="Z88" i="4"/>
  <c r="X88" i="4"/>
  <c r="Z80" i="4"/>
  <c r="X80" i="4"/>
  <c r="AA80" i="4"/>
  <c r="Y80" i="4"/>
  <c r="AA63" i="4"/>
  <c r="Z63" i="4"/>
  <c r="X63" i="4"/>
  <c r="Y63" i="4"/>
  <c r="AA55" i="4"/>
  <c r="Z55" i="4"/>
  <c r="X55" i="4"/>
  <c r="Y55" i="4"/>
  <c r="Z47" i="4"/>
  <c r="Y47" i="4"/>
  <c r="AA47" i="4"/>
  <c r="X47" i="4"/>
  <c r="X39" i="4"/>
  <c r="AA39" i="4"/>
  <c r="Z39" i="4"/>
  <c r="Y39" i="4"/>
  <c r="T31" i="4"/>
  <c r="AA31" i="4"/>
  <c r="Y31" i="4"/>
  <c r="X31" i="4"/>
  <c r="Z31" i="4"/>
  <c r="V23" i="4"/>
  <c r="Z23" i="4"/>
  <c r="AA23" i="4"/>
  <c r="X23" i="4"/>
  <c r="Y23" i="4"/>
  <c r="Z15" i="4"/>
  <c r="Y15" i="4"/>
  <c r="X15" i="4"/>
  <c r="AA15" i="4"/>
  <c r="Z7" i="4"/>
  <c r="AA7" i="4"/>
  <c r="Y7" i="4"/>
  <c r="X7" i="4"/>
  <c r="V199" i="4"/>
  <c r="AA199" i="4"/>
  <c r="Y199" i="4"/>
  <c r="Z199" i="4"/>
  <c r="X199" i="4"/>
  <c r="V191" i="4"/>
  <c r="AA191" i="4"/>
  <c r="Z191" i="4"/>
  <c r="Y191" i="4"/>
  <c r="X191" i="4"/>
  <c r="V183" i="4"/>
  <c r="AA183" i="4"/>
  <c r="Y183" i="4"/>
  <c r="X183" i="4"/>
  <c r="Z183" i="4"/>
  <c r="V175" i="4"/>
  <c r="AA175" i="4"/>
  <c r="Y175" i="4"/>
  <c r="Z175" i="4"/>
  <c r="X175" i="4"/>
  <c r="V167" i="4"/>
  <c r="AA167" i="4"/>
  <c r="Z167" i="4"/>
  <c r="X167" i="4"/>
  <c r="V159" i="4"/>
  <c r="AA159" i="4"/>
  <c r="Z159" i="4"/>
  <c r="Y159" i="4"/>
  <c r="X159" i="4"/>
  <c r="V151" i="4"/>
  <c r="AA151" i="4"/>
  <c r="Y151" i="4"/>
  <c r="Z151" i="4"/>
  <c r="X151" i="4"/>
  <c r="V143" i="4"/>
  <c r="AA143" i="4"/>
  <c r="Y143" i="4"/>
  <c r="Z143" i="4"/>
  <c r="X143" i="4"/>
  <c r="V135" i="4"/>
  <c r="AA135" i="4"/>
  <c r="Y135" i="4"/>
  <c r="X135" i="4"/>
  <c r="Z135" i="4"/>
  <c r="V127" i="4"/>
  <c r="AA127" i="4"/>
  <c r="Z127" i="4"/>
  <c r="Y127" i="4"/>
  <c r="X127" i="4"/>
  <c r="V119" i="4"/>
  <c r="AA119" i="4"/>
  <c r="Y119" i="4"/>
  <c r="X119" i="4"/>
  <c r="Z119" i="4"/>
  <c r="V111" i="4"/>
  <c r="AA111" i="4"/>
  <c r="Y111" i="4"/>
  <c r="Z111" i="4"/>
  <c r="X111" i="4"/>
  <c r="V103" i="4"/>
  <c r="AA103" i="4"/>
  <c r="Y103" i="4"/>
  <c r="Z103" i="4"/>
  <c r="X103" i="4"/>
  <c r="W95" i="4"/>
  <c r="AA95" i="4"/>
  <c r="Y95" i="4"/>
  <c r="X95" i="4"/>
  <c r="V87" i="4"/>
  <c r="AA87" i="4"/>
  <c r="Y87" i="4"/>
  <c r="Z87" i="4"/>
  <c r="X87" i="4"/>
  <c r="U79" i="4"/>
  <c r="AA79" i="4"/>
  <c r="Y79" i="4"/>
  <c r="Z79" i="4"/>
  <c r="X79" i="4"/>
  <c r="AA62" i="4"/>
  <c r="Z62" i="4"/>
  <c r="Y62" i="4"/>
  <c r="X62" i="4"/>
  <c r="U54" i="4"/>
  <c r="AA54" i="4"/>
  <c r="Z54" i="4"/>
  <c r="X54" i="4"/>
  <c r="Y54" i="4"/>
  <c r="U38" i="4"/>
  <c r="AA38" i="4"/>
  <c r="Z38" i="4"/>
  <c r="Y38" i="4"/>
  <c r="X38" i="4"/>
  <c r="W30" i="4"/>
  <c r="AA30" i="4"/>
  <c r="Y30" i="4"/>
  <c r="Z30" i="4"/>
  <c r="AA22" i="4"/>
  <c r="Z22" i="4"/>
  <c r="U14" i="4"/>
  <c r="AA14" i="4"/>
  <c r="X14" i="4"/>
  <c r="Z14" i="4"/>
  <c r="Y14" i="4"/>
  <c r="AA6" i="4"/>
  <c r="Y6" i="4"/>
  <c r="X6" i="4"/>
  <c r="Z6" i="4"/>
  <c r="U29" i="4"/>
  <c r="Z29" i="4"/>
  <c r="AA29" i="4"/>
  <c r="X29" i="4"/>
  <c r="Y29" i="4"/>
  <c r="U13" i="4"/>
  <c r="Z13" i="4"/>
  <c r="X13" i="4"/>
  <c r="Y13" i="4"/>
  <c r="AA13" i="4"/>
  <c r="T5" i="4"/>
  <c r="Z5" i="4"/>
  <c r="AA5" i="4"/>
  <c r="X5" i="4"/>
  <c r="Y5" i="4"/>
  <c r="AA197" i="4"/>
  <c r="Y197" i="4"/>
  <c r="X197" i="4"/>
  <c r="Z197" i="4"/>
  <c r="V189" i="4"/>
  <c r="AA189" i="4"/>
  <c r="Z189" i="4"/>
  <c r="Y189" i="4"/>
  <c r="X189" i="4"/>
  <c r="AA181" i="4"/>
  <c r="Y181" i="4"/>
  <c r="Z181" i="4"/>
  <c r="X181" i="4"/>
  <c r="AA173" i="4"/>
  <c r="Y173" i="4"/>
  <c r="X173" i="4"/>
  <c r="Z173" i="4"/>
  <c r="AA165" i="4"/>
  <c r="Y165" i="4"/>
  <c r="Z165" i="4"/>
  <c r="X165" i="4"/>
  <c r="AA157" i="4"/>
  <c r="Z157" i="4"/>
  <c r="Y157" i="4"/>
  <c r="X157" i="4"/>
  <c r="AA149" i="4"/>
  <c r="Y149" i="4"/>
  <c r="Z149" i="4"/>
  <c r="X149" i="4"/>
  <c r="U141" i="4"/>
  <c r="AA141" i="4"/>
  <c r="Y141" i="4"/>
  <c r="Z141" i="4"/>
  <c r="X141" i="4"/>
  <c r="AA133" i="4"/>
  <c r="Y133" i="4"/>
  <c r="X133" i="4"/>
  <c r="Z133" i="4"/>
  <c r="V125" i="4"/>
  <c r="AA125" i="4"/>
  <c r="Z125" i="4"/>
  <c r="Y125" i="4"/>
  <c r="X125" i="4"/>
  <c r="U117" i="4"/>
  <c r="AA117" i="4"/>
  <c r="Y117" i="4"/>
  <c r="Z117" i="4"/>
  <c r="X117" i="4"/>
  <c r="AA109" i="4"/>
  <c r="Y109" i="4"/>
  <c r="X109" i="4"/>
  <c r="Z109" i="4"/>
  <c r="V101" i="4"/>
  <c r="AA101" i="4"/>
  <c r="Y101" i="4"/>
  <c r="Z101" i="4"/>
  <c r="X101" i="4"/>
  <c r="AA93" i="4"/>
  <c r="Z93" i="4"/>
  <c r="Y93" i="4"/>
  <c r="X93" i="4"/>
  <c r="U85" i="4"/>
  <c r="AA85" i="4"/>
  <c r="Y85" i="4"/>
  <c r="Z85" i="4"/>
  <c r="X85" i="4"/>
  <c r="U77" i="4"/>
  <c r="AA77" i="4"/>
  <c r="Y77" i="4"/>
  <c r="Z77" i="4"/>
  <c r="X77" i="4"/>
  <c r="AA68" i="4"/>
  <c r="Y68" i="4"/>
  <c r="X68" i="4"/>
  <c r="Z68" i="4"/>
  <c r="V60" i="4"/>
  <c r="AA60" i="4"/>
  <c r="Y60" i="4"/>
  <c r="Z60" i="4"/>
  <c r="X60" i="4"/>
  <c r="C16" i="14" s="1" a="1"/>
  <c r="C16" i="14" s="1"/>
  <c r="U52" i="4"/>
  <c r="AA52" i="4"/>
  <c r="Y52" i="4"/>
  <c r="Z52" i="4"/>
  <c r="X52" i="4"/>
  <c r="AA44" i="4"/>
  <c r="Y44" i="4"/>
  <c r="X44" i="4"/>
  <c r="Z44" i="4"/>
  <c r="V36" i="4"/>
  <c r="AA36" i="4"/>
  <c r="Y36" i="4"/>
  <c r="Z36" i="4"/>
  <c r="X36" i="4"/>
  <c r="AA28" i="4"/>
  <c r="Y28" i="4"/>
  <c r="Z28" i="4"/>
  <c r="X28" i="4"/>
  <c r="U20" i="4"/>
  <c r="AA20" i="4"/>
  <c r="Y20" i="4"/>
  <c r="Z20" i="4"/>
  <c r="X20" i="4"/>
  <c r="AA12" i="4"/>
  <c r="Y12" i="4"/>
  <c r="Z12" i="4"/>
  <c r="X12" i="4"/>
  <c r="AA4" i="4"/>
  <c r="Y4" i="4"/>
  <c r="Z4" i="4"/>
  <c r="X4" i="4"/>
  <c r="Z196" i="4"/>
  <c r="AA196" i="4"/>
  <c r="V188" i="4"/>
  <c r="Z188" i="4"/>
  <c r="X188" i="4"/>
  <c r="AA188" i="4"/>
  <c r="Y188" i="4"/>
  <c r="V172" i="4"/>
  <c r="Z172" i="4"/>
  <c r="AA172" i="4"/>
  <c r="X172" i="4"/>
  <c r="Y172" i="4"/>
  <c r="V164" i="4"/>
  <c r="Z164" i="4"/>
  <c r="X164" i="4"/>
  <c r="Y164" i="4"/>
  <c r="AA164" i="4"/>
  <c r="V156" i="4"/>
  <c r="Z156" i="4"/>
  <c r="X156" i="4"/>
  <c r="Y156" i="4"/>
  <c r="AA156" i="4"/>
  <c r="V148" i="4"/>
  <c r="Z148" i="4"/>
  <c r="X148" i="4"/>
  <c r="AA148" i="4"/>
  <c r="Y148" i="4"/>
  <c r="V140" i="4"/>
  <c r="Z140" i="4"/>
  <c r="X140" i="4"/>
  <c r="AA140" i="4"/>
  <c r="Y140" i="4"/>
  <c r="V132" i="4"/>
  <c r="Z132" i="4"/>
  <c r="AA132" i="4"/>
  <c r="X132" i="4"/>
  <c r="Y132" i="4"/>
  <c r="V124" i="4"/>
  <c r="Z124" i="4"/>
  <c r="X124" i="4"/>
  <c r="AA124" i="4"/>
  <c r="Y124" i="4"/>
  <c r="V116" i="4"/>
  <c r="Z116" i="4"/>
  <c r="X116" i="4"/>
  <c r="Y116" i="4"/>
  <c r="AA116" i="4"/>
  <c r="V108" i="4"/>
  <c r="Z108" i="4"/>
  <c r="X108" i="4"/>
  <c r="AA108" i="4"/>
  <c r="Y108" i="4"/>
  <c r="V100" i="4"/>
  <c r="Z100" i="4"/>
  <c r="X100" i="4"/>
  <c r="AA100" i="4"/>
  <c r="Y100" i="4"/>
  <c r="V92" i="4"/>
  <c r="Z92" i="4"/>
  <c r="X92" i="4"/>
  <c r="Y92" i="4"/>
  <c r="AA92" i="4"/>
  <c r="V84" i="4"/>
  <c r="Z84" i="4"/>
  <c r="X84" i="4"/>
  <c r="AA84" i="4"/>
  <c r="Y84" i="4"/>
  <c r="V76" i="4"/>
  <c r="Z76" i="4"/>
  <c r="X76" i="4"/>
  <c r="AA76" i="4"/>
  <c r="Y76" i="4"/>
  <c r="V67" i="4"/>
  <c r="Z67" i="4"/>
  <c r="AA67" i="4"/>
  <c r="X67" i="4"/>
  <c r="Y67" i="4"/>
  <c r="V59" i="4"/>
  <c r="Z59" i="4"/>
  <c r="Y59" i="4"/>
  <c r="X59" i="4"/>
  <c r="AA59" i="4"/>
  <c r="V51" i="4"/>
  <c r="Z51" i="4"/>
  <c r="X51" i="4"/>
  <c r="Y51" i="4"/>
  <c r="AA51" i="4"/>
  <c r="V43" i="4"/>
  <c r="Z43" i="4"/>
  <c r="X43" i="4"/>
  <c r="AA43" i="4"/>
  <c r="Y43" i="4"/>
  <c r="V35" i="4"/>
  <c r="Z35" i="4"/>
  <c r="AA35" i="4"/>
  <c r="V19" i="4"/>
  <c r="Z19" i="4"/>
  <c r="Y19" i="4"/>
  <c r="X19" i="4"/>
  <c r="AA19" i="4"/>
  <c r="V11" i="4"/>
  <c r="Z11" i="4"/>
  <c r="X11" i="4"/>
  <c r="Y11" i="4"/>
  <c r="AA11" i="4"/>
  <c r="U3" i="4"/>
  <c r="Z3" i="4"/>
  <c r="AA3" i="4"/>
  <c r="X3" i="4"/>
  <c r="Y3" i="4"/>
  <c r="U198" i="4"/>
  <c r="Z198" i="4"/>
  <c r="AA198" i="4"/>
  <c r="X198" i="4"/>
  <c r="Y198" i="4"/>
  <c r="U174" i="4"/>
  <c r="Z174" i="4"/>
  <c r="AA174" i="4"/>
  <c r="X174" i="4"/>
  <c r="Y174" i="4"/>
  <c r="U150" i="4"/>
  <c r="Z150" i="4"/>
  <c r="X150" i="4"/>
  <c r="AA150" i="4"/>
  <c r="Y150" i="4"/>
  <c r="U126" i="4"/>
  <c r="Z126" i="4"/>
  <c r="X126" i="4"/>
  <c r="C24" i="14" s="1" a="1"/>
  <c r="C24" i="14" s="1"/>
  <c r="AA126" i="4"/>
  <c r="Y126" i="4"/>
  <c r="U94" i="4"/>
  <c r="Z94" i="4"/>
  <c r="AA94" i="4"/>
  <c r="Y94" i="4"/>
  <c r="X94" i="4"/>
  <c r="U78" i="4"/>
  <c r="Z78" i="4"/>
  <c r="Y78" i="4"/>
  <c r="X78" i="4"/>
  <c r="AA78" i="4"/>
  <c r="U37" i="4"/>
  <c r="Z37" i="4"/>
  <c r="X37" i="4"/>
  <c r="AA37" i="4"/>
  <c r="Y37" i="4"/>
  <c r="U203" i="4"/>
  <c r="Y203" i="4"/>
  <c r="X203" i="4"/>
  <c r="Z203" i="4"/>
  <c r="AA195" i="4"/>
  <c r="Z195" i="4"/>
  <c r="U187" i="4"/>
  <c r="G36" i="8" s="1" a="1"/>
  <c r="G36" i="8" s="1"/>
  <c r="AA187" i="4"/>
  <c r="F36" i="14" s="1" a="1"/>
  <c r="F36" i="14" s="1"/>
  <c r="X187" i="4"/>
  <c r="C36" i="14" s="1" a="1"/>
  <c r="C36" i="14" s="1"/>
  <c r="Z187" i="4"/>
  <c r="E36" i="14" s="1" a="1"/>
  <c r="E36" i="14" s="1"/>
  <c r="Y187" i="4"/>
  <c r="D36" i="14" s="1" a="1"/>
  <c r="D36" i="14" s="1"/>
  <c r="U179" i="4"/>
  <c r="AA179" i="4"/>
  <c r="Z179" i="4"/>
  <c r="Y179" i="4"/>
  <c r="X179" i="4"/>
  <c r="U171" i="4"/>
  <c r="AA171" i="4"/>
  <c r="Z171" i="4"/>
  <c r="X171" i="4"/>
  <c r="Y171" i="4"/>
  <c r="U163" i="4"/>
  <c r="AA163" i="4"/>
  <c r="Z163" i="4"/>
  <c r="X163" i="4"/>
  <c r="Y163" i="4"/>
  <c r="U155" i="4"/>
  <c r="AA155" i="4"/>
  <c r="Y155" i="4"/>
  <c r="X155" i="4"/>
  <c r="Z155" i="4"/>
  <c r="U147" i="4"/>
  <c r="AA147" i="4"/>
  <c r="Z147" i="4"/>
  <c r="Y147" i="4"/>
  <c r="U139" i="4"/>
  <c r="AA139" i="4"/>
  <c r="Y139" i="4"/>
  <c r="X139" i="4"/>
  <c r="Z139" i="4"/>
  <c r="U131" i="4"/>
  <c r="AA131" i="4"/>
  <c r="Z131" i="4"/>
  <c r="X131" i="4"/>
  <c r="Y131" i="4"/>
  <c r="U115" i="4"/>
  <c r="AA115" i="4"/>
  <c r="Z115" i="4"/>
  <c r="Y115" i="4"/>
  <c r="X115" i="4"/>
  <c r="U107" i="4"/>
  <c r="AA107" i="4"/>
  <c r="X107" i="4"/>
  <c r="Z107" i="4"/>
  <c r="Y107" i="4"/>
  <c r="U99" i="4"/>
  <c r="AA99" i="4"/>
  <c r="Z99" i="4"/>
  <c r="Y99" i="4"/>
  <c r="X99" i="4"/>
  <c r="U91" i="4"/>
  <c r="AA91" i="4"/>
  <c r="X91" i="4"/>
  <c r="Z91" i="4"/>
  <c r="Y91" i="4"/>
  <c r="U83" i="4"/>
  <c r="AA83" i="4"/>
  <c r="Z83" i="4"/>
  <c r="Y83" i="4"/>
  <c r="X83" i="4"/>
  <c r="U75" i="4"/>
  <c r="AA75" i="4"/>
  <c r="X75" i="4"/>
  <c r="Y75" i="4"/>
  <c r="Z75" i="4"/>
  <c r="U66" i="4"/>
  <c r="AA66" i="4"/>
  <c r="Z66" i="4"/>
  <c r="Y66" i="4"/>
  <c r="X66" i="4"/>
  <c r="U58" i="4"/>
  <c r="AA58" i="4"/>
  <c r="Z58" i="4"/>
  <c r="X58" i="4"/>
  <c r="Y58" i="4"/>
  <c r="U50" i="4"/>
  <c r="AA50" i="4"/>
  <c r="Y50" i="4"/>
  <c r="Z50" i="4"/>
  <c r="X50" i="4"/>
  <c r="U42" i="4"/>
  <c r="Y42" i="4"/>
  <c r="AA42" i="4"/>
  <c r="X42" i="4"/>
  <c r="Z42" i="4"/>
  <c r="U34" i="4"/>
  <c r="Y34" i="4"/>
  <c r="AA34" i="4"/>
  <c r="Z34" i="4"/>
  <c r="X34" i="4"/>
  <c r="U26" i="4"/>
  <c r="Y26" i="4"/>
  <c r="X26" i="4"/>
  <c r="U18" i="4"/>
  <c r="Y18" i="4"/>
  <c r="AA18" i="4"/>
  <c r="X18" i="4"/>
  <c r="Z18" i="4"/>
  <c r="U10" i="4"/>
  <c r="Y10" i="4"/>
  <c r="AA10" i="4"/>
  <c r="Z10" i="4"/>
  <c r="X10" i="4"/>
  <c r="V2" i="4"/>
  <c r="Y2" i="4"/>
  <c r="AA2" i="4"/>
  <c r="Z2" i="4"/>
  <c r="X2" i="4"/>
  <c r="T97" i="4"/>
  <c r="T158" i="4"/>
  <c r="V163" i="4"/>
  <c r="T130" i="4"/>
  <c r="W198" i="4"/>
  <c r="T11" i="4"/>
  <c r="W147" i="4"/>
  <c r="U162" i="4"/>
  <c r="U116" i="4"/>
  <c r="W51" i="4"/>
  <c r="T182" i="4"/>
  <c r="T154" i="4"/>
  <c r="T126" i="4"/>
  <c r="T94" i="4"/>
  <c r="T50" i="4"/>
  <c r="U156" i="4"/>
  <c r="U111" i="4"/>
  <c r="V158" i="4"/>
  <c r="V107" i="4"/>
  <c r="V42" i="4"/>
  <c r="W187" i="4"/>
  <c r="W142" i="4"/>
  <c r="W45" i="4"/>
  <c r="T178" i="4"/>
  <c r="T121" i="4"/>
  <c r="T90" i="4"/>
  <c r="T43" i="4"/>
  <c r="T3" i="4"/>
  <c r="U154" i="4"/>
  <c r="U59" i="4"/>
  <c r="V203" i="4"/>
  <c r="V99" i="4"/>
  <c r="V34" i="4"/>
  <c r="W174" i="4"/>
  <c r="W135" i="4"/>
  <c r="W91" i="4"/>
  <c r="W43" i="4"/>
  <c r="T202" i="4"/>
  <c r="T174" i="4"/>
  <c r="T150" i="4"/>
  <c r="T118" i="4"/>
  <c r="T42" i="4"/>
  <c r="U194" i="4"/>
  <c r="U143" i="4"/>
  <c r="U103" i="4"/>
  <c r="V202" i="4"/>
  <c r="V150" i="4"/>
  <c r="V94" i="4"/>
  <c r="V29" i="4"/>
  <c r="W172" i="4"/>
  <c r="W134" i="4"/>
  <c r="W84" i="4"/>
  <c r="W38" i="4"/>
  <c r="T198" i="4"/>
  <c r="T170" i="4"/>
  <c r="T146" i="4"/>
  <c r="T110" i="4"/>
  <c r="T86" i="4"/>
  <c r="T37" i="4"/>
  <c r="U98" i="4"/>
  <c r="U51" i="4"/>
  <c r="V190" i="4"/>
  <c r="V146" i="4"/>
  <c r="V86" i="4"/>
  <c r="W167" i="4"/>
  <c r="W116" i="4"/>
  <c r="W83" i="4"/>
  <c r="T194" i="4"/>
  <c r="T166" i="4"/>
  <c r="T142" i="4"/>
  <c r="T106" i="4"/>
  <c r="T76" i="4"/>
  <c r="T29" i="4"/>
  <c r="U188" i="4"/>
  <c r="U92" i="4"/>
  <c r="V178" i="4"/>
  <c r="V139" i="4"/>
  <c r="V75" i="4"/>
  <c r="V10" i="4"/>
  <c r="W159" i="4"/>
  <c r="W110" i="4"/>
  <c r="W78" i="4"/>
  <c r="W19" i="4"/>
  <c r="T190" i="4"/>
  <c r="T162" i="4"/>
  <c r="T138" i="4"/>
  <c r="T102" i="4"/>
  <c r="T69" i="4"/>
  <c r="U175" i="4"/>
  <c r="U130" i="4"/>
  <c r="U90" i="4"/>
  <c r="V138" i="4"/>
  <c r="W155" i="4"/>
  <c r="W108" i="4"/>
  <c r="W69" i="4"/>
  <c r="W18" i="4"/>
  <c r="T186" i="4"/>
  <c r="T134" i="4"/>
  <c r="T98" i="4"/>
  <c r="T67" i="4"/>
  <c r="T18" i="4"/>
  <c r="U124" i="4"/>
  <c r="V171" i="4"/>
  <c r="V126" i="4"/>
  <c r="V61" i="4"/>
  <c r="W199" i="4"/>
  <c r="W148" i="4"/>
  <c r="W103" i="4"/>
  <c r="W58" i="4"/>
  <c r="W13" i="4"/>
  <c r="V201" i="4"/>
  <c r="W201" i="4"/>
  <c r="V193" i="4"/>
  <c r="W193" i="4"/>
  <c r="U185" i="4"/>
  <c r="V177" i="4"/>
  <c r="W177" i="4"/>
  <c r="U177" i="4"/>
  <c r="V169" i="4"/>
  <c r="W169" i="4"/>
  <c r="U161" i="4"/>
  <c r="V153" i="4"/>
  <c r="W153" i="4"/>
  <c r="U153" i="4"/>
  <c r="V145" i="4"/>
  <c r="W145" i="4"/>
  <c r="U145" i="4"/>
  <c r="V137" i="4"/>
  <c r="W137" i="4"/>
  <c r="V129" i="4"/>
  <c r="W129" i="4"/>
  <c r="V121" i="4"/>
  <c r="U121" i="4"/>
  <c r="V113" i="4"/>
  <c r="W113" i="4"/>
  <c r="U113" i="4"/>
  <c r="V105" i="4"/>
  <c r="W105" i="4"/>
  <c r="V97" i="4"/>
  <c r="U97" i="4"/>
  <c r="V89" i="4"/>
  <c r="W89" i="4"/>
  <c r="U89" i="4"/>
  <c r="V81" i="4"/>
  <c r="W81" i="4"/>
  <c r="U81" i="4"/>
  <c r="V73" i="4"/>
  <c r="T73" i="4"/>
  <c r="W73" i="4"/>
  <c r="V64" i="4"/>
  <c r="W64" i="4"/>
  <c r="T64" i="4"/>
  <c r="V56" i="4"/>
  <c r="U56" i="4"/>
  <c r="V48" i="4"/>
  <c r="W48" i="4"/>
  <c r="T48" i="4"/>
  <c r="U48" i="4"/>
  <c r="V40" i="4"/>
  <c r="W40" i="4"/>
  <c r="T40" i="4"/>
  <c r="V32" i="4"/>
  <c r="U32" i="4"/>
  <c r="T32" i="4"/>
  <c r="V24" i="4"/>
  <c r="W24" i="4"/>
  <c r="U24" i="4"/>
  <c r="V16" i="4"/>
  <c r="W16" i="4"/>
  <c r="U16" i="4"/>
  <c r="W8" i="4"/>
  <c r="V8" i="4"/>
  <c r="T8" i="4"/>
  <c r="U8" i="4"/>
  <c r="T201" i="4"/>
  <c r="T137" i="4"/>
  <c r="U201" i="4"/>
  <c r="U64" i="4"/>
  <c r="W185" i="4"/>
  <c r="W32" i="4"/>
  <c r="W200" i="4"/>
  <c r="U200" i="4"/>
  <c r="V200" i="4"/>
  <c r="T200" i="4"/>
  <c r="W192" i="4"/>
  <c r="U192" i="4"/>
  <c r="T192" i="4"/>
  <c r="V192" i="4"/>
  <c r="W184" i="4"/>
  <c r="U184" i="4"/>
  <c r="V184" i="4"/>
  <c r="T184" i="4"/>
  <c r="W176" i="4"/>
  <c r="U176" i="4"/>
  <c r="T176" i="4"/>
  <c r="W168" i="4"/>
  <c r="U168" i="4"/>
  <c r="V168" i="4"/>
  <c r="T168" i="4"/>
  <c r="W160" i="4"/>
  <c r="V160" i="4"/>
  <c r="W152" i="4"/>
  <c r="U152" i="4"/>
  <c r="T152" i="4"/>
  <c r="W136" i="4"/>
  <c r="U136" i="4"/>
  <c r="V136" i="4"/>
  <c r="T136" i="4"/>
  <c r="W128" i="4"/>
  <c r="U128" i="4"/>
  <c r="T128" i="4"/>
  <c r="V128" i="4"/>
  <c r="W120" i="4"/>
  <c r="U120" i="4"/>
  <c r="V120" i="4"/>
  <c r="T120" i="4"/>
  <c r="W112" i="4"/>
  <c r="U112" i="4"/>
  <c r="T112" i="4"/>
  <c r="W104" i="4"/>
  <c r="U104" i="4"/>
  <c r="V104" i="4"/>
  <c r="T104" i="4"/>
  <c r="W88" i="4"/>
  <c r="T88" i="4"/>
  <c r="W80" i="4"/>
  <c r="U80" i="4"/>
  <c r="V80" i="4"/>
  <c r="T80" i="4"/>
  <c r="W63" i="4"/>
  <c r="U63" i="4"/>
  <c r="V63" i="4"/>
  <c r="W55" i="4"/>
  <c r="U55" i="4"/>
  <c r="V55" i="4"/>
  <c r="W47" i="4"/>
  <c r="U47" i="4"/>
  <c r="T47" i="4"/>
  <c r="W39" i="4"/>
  <c r="U39" i="4"/>
  <c r="V39" i="4"/>
  <c r="T39" i="4"/>
  <c r="W31" i="4"/>
  <c r="U31" i="4"/>
  <c r="V31" i="4"/>
  <c r="W23" i="4"/>
  <c r="U23" i="4"/>
  <c r="T23" i="4"/>
  <c r="W15" i="4"/>
  <c r="U15" i="4"/>
  <c r="V15" i="4"/>
  <c r="T15" i="4"/>
  <c r="W7" i="4"/>
  <c r="U7" i="4"/>
  <c r="V7" i="4"/>
  <c r="T7" i="4"/>
  <c r="T177" i="4"/>
  <c r="T113" i="4"/>
  <c r="T63" i="4"/>
  <c r="U129" i="4"/>
  <c r="T193" i="4"/>
  <c r="T55" i="4"/>
  <c r="V47" i="4"/>
  <c r="W56" i="4"/>
  <c r="W197" i="4"/>
  <c r="U197" i="4"/>
  <c r="T197" i="4"/>
  <c r="V197" i="4"/>
  <c r="W189" i="4"/>
  <c r="T189" i="4"/>
  <c r="U189" i="4"/>
  <c r="W181" i="4"/>
  <c r="V181" i="4"/>
  <c r="T181" i="4"/>
  <c r="W173" i="4"/>
  <c r="U173" i="4"/>
  <c r="T173" i="4"/>
  <c r="V173" i="4"/>
  <c r="W165" i="4"/>
  <c r="T165" i="4"/>
  <c r="U165" i="4"/>
  <c r="W157" i="4"/>
  <c r="V157" i="4"/>
  <c r="T157" i="4"/>
  <c r="U157" i="4"/>
  <c r="W149" i="4"/>
  <c r="T149" i="4"/>
  <c r="V149" i="4"/>
  <c r="W141" i="4"/>
  <c r="T141" i="4"/>
  <c r="V141" i="4"/>
  <c r="W133" i="4"/>
  <c r="U133" i="4"/>
  <c r="T133" i="4"/>
  <c r="V133" i="4"/>
  <c r="W125" i="4"/>
  <c r="T125" i="4"/>
  <c r="U125" i="4"/>
  <c r="W117" i="4"/>
  <c r="V117" i="4"/>
  <c r="T117" i="4"/>
  <c r="W109" i="4"/>
  <c r="U109" i="4"/>
  <c r="T109" i="4"/>
  <c r="V109" i="4"/>
  <c r="W101" i="4"/>
  <c r="T101" i="4"/>
  <c r="U101" i="4"/>
  <c r="W93" i="4"/>
  <c r="V93" i="4"/>
  <c r="T93" i="4"/>
  <c r="U93" i="4"/>
  <c r="W85" i="4"/>
  <c r="T85" i="4"/>
  <c r="V85" i="4"/>
  <c r="W77" i="4"/>
  <c r="T77" i="4"/>
  <c r="V77" i="4"/>
  <c r="W68" i="4"/>
  <c r="T68" i="4"/>
  <c r="U68" i="4"/>
  <c r="V68" i="4"/>
  <c r="W60" i="4"/>
  <c r="T60" i="4"/>
  <c r="U60" i="4"/>
  <c r="W52" i="4"/>
  <c r="T52" i="4"/>
  <c r="V52" i="4"/>
  <c r="W44" i="4"/>
  <c r="T44" i="4"/>
  <c r="U44" i="4"/>
  <c r="V44" i="4"/>
  <c r="W36" i="4"/>
  <c r="T36" i="4"/>
  <c r="U36" i="4"/>
  <c r="W28" i="4"/>
  <c r="T28" i="4"/>
  <c r="V28" i="4"/>
  <c r="U28" i="4"/>
  <c r="W20" i="4"/>
  <c r="T20" i="4"/>
  <c r="V20" i="4"/>
  <c r="W12" i="4"/>
  <c r="T12" i="4"/>
  <c r="V12" i="4"/>
  <c r="W4" i="4"/>
  <c r="T4" i="4"/>
  <c r="U4" i="4"/>
  <c r="V4" i="4"/>
  <c r="T169" i="4"/>
  <c r="T105" i="4"/>
  <c r="T16" i="4"/>
  <c r="U181" i="4"/>
  <c r="U149" i="4"/>
  <c r="U12" i="4"/>
  <c r="V165" i="4"/>
  <c r="V88" i="4"/>
  <c r="T74" i="4"/>
  <c r="W74" i="4"/>
  <c r="T65" i="4"/>
  <c r="W65" i="4"/>
  <c r="T57" i="4"/>
  <c r="W57" i="4"/>
  <c r="T49" i="4"/>
  <c r="W49" i="4"/>
  <c r="T41" i="4"/>
  <c r="W41" i="4"/>
  <c r="T33" i="4"/>
  <c r="W33" i="4"/>
  <c r="T25" i="4"/>
  <c r="W25" i="4"/>
  <c r="T17" i="4"/>
  <c r="W17" i="4"/>
  <c r="T9" i="4"/>
  <c r="W9" i="4"/>
  <c r="T203" i="4"/>
  <c r="T187" i="4"/>
  <c r="T179" i="4"/>
  <c r="T171" i="4"/>
  <c r="T163" i="4"/>
  <c r="T155" i="4"/>
  <c r="T139" i="4"/>
  <c r="T131" i="4"/>
  <c r="T115" i="4"/>
  <c r="T107" i="4"/>
  <c r="T99" i="4"/>
  <c r="T91" i="4"/>
  <c r="T83" i="4"/>
  <c r="T58" i="4"/>
  <c r="T45" i="4"/>
  <c r="T19" i="4"/>
  <c r="U183" i="4"/>
  <c r="U170" i="4"/>
  <c r="U132" i="4"/>
  <c r="U119" i="4"/>
  <c r="U106" i="4"/>
  <c r="U67" i="4"/>
  <c r="U41" i="4"/>
  <c r="V179" i="4"/>
  <c r="V166" i="4"/>
  <c r="V154" i="4"/>
  <c r="V115" i="4"/>
  <c r="V102" i="4"/>
  <c r="V90" i="4"/>
  <c r="V50" i="4"/>
  <c r="V37" i="4"/>
  <c r="V25" i="4"/>
  <c r="W188" i="4"/>
  <c r="W175" i="4"/>
  <c r="W163" i="4"/>
  <c r="W150" i="4"/>
  <c r="W124" i="4"/>
  <c r="W111" i="4"/>
  <c r="W99" i="4"/>
  <c r="W86" i="4"/>
  <c r="W59" i="4"/>
  <c r="W34" i="4"/>
  <c r="V79" i="4"/>
  <c r="T79" i="4"/>
  <c r="V62" i="4"/>
  <c r="T62" i="4"/>
  <c r="V54" i="4"/>
  <c r="T54" i="4"/>
  <c r="V38" i="4"/>
  <c r="T38" i="4"/>
  <c r="V30" i="4"/>
  <c r="V22" i="4"/>
  <c r="V14" i="4"/>
  <c r="T14" i="4"/>
  <c r="W6" i="4"/>
  <c r="V6" i="4"/>
  <c r="T6" i="4"/>
  <c r="T66" i="4"/>
  <c r="T53" i="4"/>
  <c r="T2" i="4"/>
  <c r="U191" i="4"/>
  <c r="U178" i="4"/>
  <c r="U140" i="4"/>
  <c r="U127" i="4"/>
  <c r="U76" i="4"/>
  <c r="U62" i="4"/>
  <c r="U49" i="4"/>
  <c r="U11" i="4"/>
  <c r="V187" i="4"/>
  <c r="V174" i="4"/>
  <c r="V162" i="4"/>
  <c r="V110" i="4"/>
  <c r="V98" i="4"/>
  <c r="V58" i="4"/>
  <c r="V45" i="4"/>
  <c r="V33" i="4"/>
  <c r="W183" i="4"/>
  <c r="W171" i="4"/>
  <c r="W158" i="4"/>
  <c r="W132" i="4"/>
  <c r="W119" i="4"/>
  <c r="W107" i="4"/>
  <c r="W94" i="4"/>
  <c r="W67" i="4"/>
  <c r="W54" i="4"/>
  <c r="W42" i="4"/>
  <c r="W29" i="4"/>
  <c r="W5" i="4"/>
  <c r="U5" i="4"/>
  <c r="T199" i="4"/>
  <c r="T191" i="4"/>
  <c r="T183" i="4"/>
  <c r="T175" i="4"/>
  <c r="T167" i="4"/>
  <c r="T159" i="4"/>
  <c r="T151" i="4"/>
  <c r="T143" i="4"/>
  <c r="T135" i="4"/>
  <c r="T127" i="4"/>
  <c r="T119" i="4"/>
  <c r="T111" i="4"/>
  <c r="T103" i="4"/>
  <c r="T95" i="4"/>
  <c r="T87" i="4"/>
  <c r="T78" i="4"/>
  <c r="T51" i="4"/>
  <c r="T26" i="4"/>
  <c r="T13" i="4"/>
  <c r="U202" i="4"/>
  <c r="U164" i="4"/>
  <c r="U151" i="4"/>
  <c r="U138" i="4"/>
  <c r="U100" i="4"/>
  <c r="U87" i="4"/>
  <c r="U74" i="4"/>
  <c r="U9" i="4"/>
  <c r="V198" i="4"/>
  <c r="H35" i="8" s="1" a="1"/>
  <c r="H35" i="8" s="1"/>
  <c r="V186" i="4"/>
  <c r="V147" i="4"/>
  <c r="V134" i="4"/>
  <c r="V83" i="4"/>
  <c r="V69" i="4"/>
  <c r="V57" i="4"/>
  <c r="V18" i="4"/>
  <c r="V5" i="4"/>
  <c r="W182" i="4"/>
  <c r="W156" i="4"/>
  <c r="W143" i="4"/>
  <c r="W131" i="4"/>
  <c r="W118" i="4"/>
  <c r="W92" i="4"/>
  <c r="W79" i="4"/>
  <c r="W66" i="4"/>
  <c r="W53" i="4"/>
  <c r="W14" i="4"/>
  <c r="W3" i="4"/>
  <c r="V3" i="4"/>
  <c r="T75" i="4"/>
  <c r="T61" i="4"/>
  <c r="T10" i="4"/>
  <c r="U199" i="4"/>
  <c r="U186" i="4"/>
  <c r="U148" i="4"/>
  <c r="U135" i="4"/>
  <c r="U84" i="4"/>
  <c r="U57" i="4"/>
  <c r="U19" i="4"/>
  <c r="U6" i="4"/>
  <c r="V182" i="4"/>
  <c r="V170" i="4"/>
  <c r="V131" i="4"/>
  <c r="V118" i="4"/>
  <c r="V106" i="4"/>
  <c r="V66" i="4"/>
  <c r="V53" i="4"/>
  <c r="V41" i="4"/>
  <c r="W191" i="4"/>
  <c r="W179" i="4"/>
  <c r="W166" i="4"/>
  <c r="W140" i="4"/>
  <c r="W127" i="4"/>
  <c r="W115" i="4"/>
  <c r="W76" i="4"/>
  <c r="W62" i="4"/>
  <c r="W50" i="4"/>
  <c r="W37" i="4"/>
  <c r="W11" i="4"/>
  <c r="W2" i="4"/>
  <c r="U2" i="4"/>
  <c r="T188" i="4"/>
  <c r="T172" i="4"/>
  <c r="T164" i="4"/>
  <c r="T156" i="4"/>
  <c r="T148" i="4"/>
  <c r="T140" i="4"/>
  <c r="T132" i="4"/>
  <c r="T124" i="4"/>
  <c r="T116" i="4"/>
  <c r="T108" i="4"/>
  <c r="T100" i="4"/>
  <c r="T92" i="4"/>
  <c r="T84" i="4"/>
  <c r="T59" i="4"/>
  <c r="T34" i="4"/>
  <c r="U172" i="4"/>
  <c r="U159" i="4"/>
  <c r="U146" i="4"/>
  <c r="U108" i="4"/>
  <c r="U95" i="4"/>
  <c r="U43" i="4"/>
  <c r="G13" i="8" s="1" a="1"/>
  <c r="G13" i="8" s="1"/>
  <c r="U30" i="4"/>
  <c r="U17" i="4"/>
  <c r="V194" i="4"/>
  <c r="V155" i="4"/>
  <c r="V142" i="4"/>
  <c r="V130" i="4"/>
  <c r="V91" i="4"/>
  <c r="V78" i="4"/>
  <c r="V65" i="4"/>
  <c r="V13" i="4"/>
  <c r="W190" i="4"/>
  <c r="W164" i="4"/>
  <c r="W151" i="4"/>
  <c r="W139" i="4"/>
  <c r="W126" i="4"/>
  <c r="W100" i="4"/>
  <c r="W87" i="4"/>
  <c r="W75" i="4"/>
  <c r="W61" i="4"/>
  <c r="W35" i="4"/>
  <c r="W22" i="4"/>
  <c r="W10" i="4"/>
  <c r="E30" i="8"/>
  <c r="E21" i="8"/>
  <c r="E13" i="8"/>
  <c r="E2" i="8"/>
  <c r="E33" i="8"/>
  <c r="E31" i="8"/>
  <c r="E26" i="8"/>
  <c r="E34" i="8"/>
  <c r="E37" i="8"/>
  <c r="E29" i="8"/>
  <c r="E32" i="8"/>
  <c r="E35" i="8"/>
  <c r="E27" i="8"/>
  <c r="E36" i="8"/>
  <c r="E28" i="8"/>
  <c r="E24" i="8"/>
  <c r="E16" i="8"/>
  <c r="E20" i="8"/>
  <c r="E12" i="8"/>
  <c r="E8" i="8"/>
  <c r="E22" i="8"/>
  <c r="E14" i="8"/>
  <c r="E3" i="8"/>
  <c r="E7" i="8"/>
  <c r="E6" i="8"/>
  <c r="E5" i="8"/>
  <c r="E19" i="8"/>
  <c r="E11" i="8"/>
  <c r="E18" i="8"/>
  <c r="E10" i="8"/>
  <c r="E25" i="8"/>
  <c r="E17" i="8"/>
  <c r="E9" i="8"/>
  <c r="E23" i="8"/>
  <c r="E15" i="8"/>
  <c r="E4" i="8"/>
  <c r="J2" i="8" a="1"/>
  <c r="J2" i="8" s="1"/>
  <c r="J3" i="8" a="1"/>
  <c r="J3" i="8" s="1"/>
  <c r="J4" i="8" a="1"/>
  <c r="J4" i="8" s="1"/>
  <c r="J8" i="8" a="1"/>
  <c r="J8" i="8" s="1"/>
  <c r="J9" i="8" a="1"/>
  <c r="J9" i="8" s="1"/>
  <c r="K2" i="8" a="1"/>
  <c r="K2" i="8" s="1"/>
  <c r="K3" i="8" a="1"/>
  <c r="K3" i="8" s="1"/>
  <c r="K4" i="8" a="1"/>
  <c r="K4" i="8" s="1"/>
  <c r="K8" i="8" a="1"/>
  <c r="K8" i="8" s="1"/>
  <c r="K9" i="8" a="1"/>
  <c r="K9" i="8" s="1"/>
  <c r="L2" i="8" a="1"/>
  <c r="L2" i="8" s="1"/>
  <c r="L3" i="8" a="1"/>
  <c r="L3" i="8" s="1"/>
  <c r="L4" i="8" a="1"/>
  <c r="L4" i="8" s="1"/>
  <c r="L8" i="8" a="1"/>
  <c r="L8" i="8" s="1"/>
  <c r="L9" i="8" a="1"/>
  <c r="L9" i="8" s="1"/>
  <c r="M4" i="8" a="1"/>
  <c r="M4" i="8" s="1"/>
  <c r="M2" i="8" a="1"/>
  <c r="M2" i="8" s="1"/>
  <c r="M3" i="8" a="1"/>
  <c r="M3" i="8" s="1"/>
  <c r="M8" i="8" a="1"/>
  <c r="M8" i="8" s="1"/>
  <c r="M9" i="8" a="1"/>
  <c r="M9" i="8" s="1"/>
  <c r="H30" i="8" l="1" a="1"/>
  <c r="H30" i="8" s="1"/>
  <c r="F24" i="14" a="1"/>
  <c r="F24" i="14" s="1"/>
  <c r="D27" i="14" a="1"/>
  <c r="D27" i="14" s="1"/>
  <c r="D6" i="14" a="1"/>
  <c r="D6" i="14" s="1"/>
  <c r="C7" i="14" a="1"/>
  <c r="C7" i="14" s="1"/>
  <c r="E27" i="14" a="1"/>
  <c r="E27" i="14" s="1"/>
  <c r="F6" i="14" a="1"/>
  <c r="F6" i="14" s="1"/>
  <c r="E7" i="14" a="1"/>
  <c r="E7" i="14" s="1"/>
  <c r="E24" i="14" a="1"/>
  <c r="E24" i="14" s="1"/>
  <c r="C30" i="14" a="1"/>
  <c r="C30" i="14" s="1"/>
  <c r="C35" i="14" a="1"/>
  <c r="C35" i="14" s="1"/>
  <c r="E13" i="14" a="1"/>
  <c r="E13" i="14" s="1"/>
  <c r="C6" i="14" a="1"/>
  <c r="C6" i="14" s="1"/>
  <c r="D7" i="14" a="1"/>
  <c r="D7" i="14" s="1"/>
  <c r="C29" i="14" a="1"/>
  <c r="C29" i="14" s="1"/>
  <c r="E31" i="14" a="1"/>
  <c r="E31" i="14" s="1"/>
  <c r="D35" i="14" a="1"/>
  <c r="D35" i="14" s="1"/>
  <c r="C13" i="14" a="1"/>
  <c r="C13" i="14" s="1"/>
  <c r="E30" i="14" a="1"/>
  <c r="E30" i="14" s="1"/>
  <c r="D24" i="14" a="1"/>
  <c r="D24" i="14" s="1"/>
  <c r="C27" i="14" a="1"/>
  <c r="C27" i="14" s="1"/>
  <c r="D20" i="14" a="1"/>
  <c r="D20" i="14" s="1"/>
  <c r="E34" i="14" a="1"/>
  <c r="E34" i="14" s="1"/>
  <c r="F4" i="14" a="1"/>
  <c r="F4" i="14" s="1"/>
  <c r="F7" i="14" a="1"/>
  <c r="F7" i="14" s="1"/>
  <c r="F27" i="14" a="1"/>
  <c r="F27" i="14" s="1"/>
  <c r="F13" i="14" a="1"/>
  <c r="F13" i="14" s="1"/>
  <c r="E6" i="14" a="1"/>
  <c r="E6" i="14" s="1"/>
  <c r="H27" i="8" a="1"/>
  <c r="H27" i="8" s="1"/>
  <c r="I20" i="8" a="1"/>
  <c r="I20" i="8" s="1"/>
  <c r="F33" i="14" a="1"/>
  <c r="F33" i="14" s="1"/>
  <c r="E20" i="14" a="1"/>
  <c r="E20" i="14" s="1"/>
  <c r="E5" i="14" a="1"/>
  <c r="E5" i="14" s="1"/>
  <c r="F31" i="14" a="1"/>
  <c r="F31" i="14" s="1"/>
  <c r="E4" i="14" a="1"/>
  <c r="E4" i="14" s="1"/>
  <c r="F35" i="14" a="1"/>
  <c r="F35" i="14" s="1"/>
  <c r="D13" i="14" a="1"/>
  <c r="D13" i="14" s="1"/>
  <c r="C20" i="14" a="1"/>
  <c r="C20" i="14" s="1"/>
  <c r="D29" i="14" a="1"/>
  <c r="D29" i="14" s="1"/>
  <c r="E11" i="14" a="1"/>
  <c r="E11" i="14" s="1"/>
  <c r="F11" i="14" a="1"/>
  <c r="F11" i="14" s="1"/>
  <c r="E16" i="14" a="1"/>
  <c r="E16" i="14" s="1"/>
  <c r="D17" i="14" a="1"/>
  <c r="D17" i="14" s="1"/>
  <c r="F20" i="14" a="1"/>
  <c r="F20" i="14" s="1"/>
  <c r="E29" i="14" a="1"/>
  <c r="E29" i="14" s="1"/>
  <c r="F30" i="14" a="1"/>
  <c r="F30" i="14" s="1"/>
  <c r="D16" i="14" a="1"/>
  <c r="D16" i="14" s="1"/>
  <c r="C17" i="14" a="1"/>
  <c r="C17" i="14" s="1"/>
  <c r="C25" i="14" a="1"/>
  <c r="C25" i="14" s="1"/>
  <c r="F29" i="14" a="1"/>
  <c r="F29" i="14" s="1"/>
  <c r="F34" i="14" a="1"/>
  <c r="F34" i="14" s="1"/>
  <c r="D30" i="14" a="1"/>
  <c r="D30" i="14" s="1"/>
  <c r="F16" i="14" a="1"/>
  <c r="F16" i="14" s="1"/>
  <c r="E17" i="14" a="1"/>
  <c r="E17" i="14" s="1"/>
  <c r="D25" i="14" a="1"/>
  <c r="D25" i="14" s="1"/>
  <c r="F5" i="14" a="1"/>
  <c r="F5" i="14" s="1"/>
  <c r="E33" i="14" a="1"/>
  <c r="E33" i="14" s="1"/>
  <c r="E35" i="14" a="1"/>
  <c r="E35" i="14" s="1"/>
  <c r="F17" i="14" a="1"/>
  <c r="F17" i="14" s="1"/>
  <c r="F25" i="14" a="1"/>
  <c r="F25" i="14" s="1"/>
  <c r="C5" i="14" a="1"/>
  <c r="C5" i="14" s="1"/>
  <c r="C31" i="14" a="1"/>
  <c r="C31" i="14" s="1"/>
  <c r="D4" i="14" a="1"/>
  <c r="D4" i="14" s="1"/>
  <c r="E25" i="14" a="1"/>
  <c r="E25" i="14" s="1"/>
  <c r="D5" i="14" a="1"/>
  <c r="D5" i="14" s="1"/>
  <c r="D31" i="14" a="1"/>
  <c r="D31" i="14" s="1"/>
  <c r="I13" i="8" a="1"/>
  <c r="I13" i="8" s="1"/>
  <c r="I36" i="8" a="1"/>
  <c r="I36" i="8" s="1"/>
  <c r="H36" i="8" a="1"/>
  <c r="H36" i="8" s="1"/>
  <c r="G35" i="8" a="1"/>
  <c r="G35" i="8" s="1"/>
  <c r="G25" i="8" a="1"/>
  <c r="G25" i="8" s="1"/>
  <c r="F36" i="8" a="1"/>
  <c r="F36" i="8" s="1"/>
  <c r="H24" i="8" a="1"/>
  <c r="H24" i="8" s="1"/>
  <c r="F31" i="8" a="1"/>
  <c r="F31" i="8" s="1"/>
  <c r="F27" i="8" a="1"/>
  <c r="F27" i="8" s="1"/>
  <c r="F24" i="8" a="1"/>
  <c r="F24" i="8" s="1"/>
  <c r="I35" i="8" a="1"/>
  <c r="I35" i="8" s="1"/>
  <c r="F5" i="8" a="1"/>
  <c r="F5" i="8" s="1"/>
  <c r="G6" i="8" a="1"/>
  <c r="G6" i="8" s="1"/>
  <c r="F30" i="8" a="1"/>
  <c r="F30" i="8" s="1"/>
  <c r="G30" i="8" a="1"/>
  <c r="G30" i="8" s="1"/>
  <c r="I16" i="8" a="1"/>
  <c r="I16" i="8" s="1"/>
  <c r="H16" i="8" a="1"/>
  <c r="H16" i="8" s="1"/>
  <c r="H17" i="8" a="1"/>
  <c r="H17" i="8" s="1"/>
  <c r="H25" i="8" a="1"/>
  <c r="H25" i="8" s="1"/>
  <c r="H6" i="8" a="1"/>
  <c r="H6" i="8" s="1"/>
  <c r="G27" i="8" a="1"/>
  <c r="G27" i="8" s="1"/>
  <c r="F35" i="8" a="1"/>
  <c r="F35" i="8" s="1"/>
  <c r="H29" i="8" a="1"/>
  <c r="H29" i="8" s="1"/>
  <c r="F16" i="8" a="1"/>
  <c r="F16" i="8" s="1"/>
  <c r="I25" i="8" a="1"/>
  <c r="I25" i="8" s="1"/>
  <c r="G20" i="8" a="1"/>
  <c r="G20" i="8" s="1"/>
  <c r="I29" i="8" a="1"/>
  <c r="I29" i="8" s="1"/>
  <c r="F6" i="8" a="1"/>
  <c r="F6" i="8" s="1"/>
  <c r="G5" i="8" a="1"/>
  <c r="G5" i="8" s="1"/>
  <c r="F20" i="8" a="1"/>
  <c r="F20" i="8" s="1"/>
  <c r="G29" i="8" a="1"/>
  <c r="G29" i="8" s="1"/>
  <c r="I5" i="8" a="1"/>
  <c r="I5" i="8" s="1"/>
  <c r="H4" i="8" a="1"/>
  <c r="H4" i="8" s="1"/>
  <c r="H20" i="8" a="1"/>
  <c r="H20" i="8" s="1"/>
  <c r="F29" i="8" a="1"/>
  <c r="F29" i="8" s="1"/>
  <c r="F7" i="8" a="1"/>
  <c r="F7" i="8" s="1"/>
  <c r="I6" i="8" a="1"/>
  <c r="I6" i="8" s="1"/>
  <c r="G17" i="8" a="1"/>
  <c r="G17" i="8" s="1"/>
  <c r="G31" i="8" a="1"/>
  <c r="G31" i="8" s="1"/>
  <c r="F25" i="8" a="1"/>
  <c r="F25" i="8" s="1"/>
  <c r="I17" i="8" a="1"/>
  <c r="I17" i="8" s="1"/>
  <c r="F17" i="8" a="1"/>
  <c r="F17" i="8" s="1"/>
  <c r="G4" i="8" a="1"/>
  <c r="G4" i="8" s="1"/>
  <c r="G16" i="8" a="1"/>
  <c r="G16" i="8" s="1"/>
  <c r="I7" i="8" a="1"/>
  <c r="I7" i="8" s="1"/>
  <c r="H11" i="8" a="1"/>
  <c r="H11" i="8" s="1"/>
  <c r="I24" i="8" a="1"/>
  <c r="I24" i="8" s="1"/>
  <c r="G24" i="8" a="1"/>
  <c r="G24" i="8" s="1"/>
  <c r="I30" i="8" a="1"/>
  <c r="I30" i="8" s="1"/>
  <c r="I27" i="8" a="1"/>
  <c r="I27" i="8" s="1"/>
  <c r="I11" i="8" a="1"/>
  <c r="I11" i="8" s="1"/>
  <c r="G7" i="8" a="1"/>
  <c r="G7" i="8" s="1"/>
  <c r="I4" i="8" a="1"/>
  <c r="I4" i="8" s="1"/>
  <c r="H13" i="8" a="1"/>
  <c r="H13" i="8" s="1"/>
  <c r="H5" i="8" a="1"/>
  <c r="H5" i="8" s="1"/>
  <c r="H7" i="8" a="1"/>
  <c r="H7" i="8" s="1"/>
  <c r="F13" i="8" a="1"/>
  <c r="F13" i="8" s="1"/>
  <c r="H31" i="8" a="1"/>
  <c r="H31" i="8" s="1"/>
  <c r="I31" i="8" a="1"/>
  <c r="I31" i="8" s="1"/>
  <c r="A76" i="4"/>
  <c r="B76" i="4"/>
  <c r="C76" i="4"/>
  <c r="A75" i="4"/>
  <c r="B75" i="4"/>
  <c r="C75" i="4"/>
  <c r="A74" i="4"/>
  <c r="B74" i="4"/>
  <c r="C74" i="4"/>
  <c r="A54" i="4"/>
  <c r="B54" i="4"/>
  <c r="C54" i="4"/>
  <c r="A148" i="4"/>
  <c r="A149" i="4"/>
  <c r="A150" i="4"/>
  <c r="B148" i="4"/>
  <c r="B149" i="4"/>
  <c r="B150" i="4"/>
  <c r="C148" i="4"/>
  <c r="C149" i="4"/>
  <c r="C150" i="4"/>
  <c r="A147" i="4"/>
  <c r="X147" i="4" s="1"/>
  <c r="C4" i="14" s="1" a="1"/>
  <c r="C4" i="14" s="1"/>
  <c r="B147" i="4"/>
  <c r="T147" i="4" s="1"/>
  <c r="C147" i="4"/>
  <c r="A115" i="4"/>
  <c r="B115" i="4"/>
  <c r="C115" i="4"/>
  <c r="A73" i="4"/>
  <c r="B73" i="4"/>
  <c r="C73" i="4"/>
  <c r="A53" i="4"/>
  <c r="B53" i="4"/>
  <c r="C53" i="4"/>
  <c r="A146" i="4"/>
  <c r="B146" i="4"/>
  <c r="C146" i="4"/>
  <c r="A145" i="4"/>
  <c r="G28" i="14" s="1"/>
  <c r="B145" i="4"/>
  <c r="C145" i="4"/>
  <c r="A203" i="4"/>
  <c r="AA203" i="4" s="1"/>
  <c r="F3" i="14" s="1" a="1"/>
  <c r="F3" i="14" s="1"/>
  <c r="B203" i="4"/>
  <c r="W203" i="4" s="1"/>
  <c r="C203" i="4"/>
  <c r="A189" i="4"/>
  <c r="A190" i="4"/>
  <c r="A191" i="4"/>
  <c r="A192" i="4"/>
  <c r="A193" i="4"/>
  <c r="A194" i="4"/>
  <c r="A195" i="4"/>
  <c r="A196" i="4"/>
  <c r="B189" i="4"/>
  <c r="B190" i="4"/>
  <c r="B191" i="4"/>
  <c r="B192" i="4"/>
  <c r="B193" i="4"/>
  <c r="B194" i="4"/>
  <c r="B195" i="4"/>
  <c r="B196" i="4"/>
  <c r="C189" i="4"/>
  <c r="C190" i="4"/>
  <c r="C191" i="4"/>
  <c r="C192" i="4"/>
  <c r="C193" i="4"/>
  <c r="C194" i="4"/>
  <c r="C195" i="4"/>
  <c r="C196" i="4"/>
  <c r="A185" i="4"/>
  <c r="Z185" i="4" s="1"/>
  <c r="E3" i="14" s="1" a="1"/>
  <c r="E3" i="14" s="1"/>
  <c r="B185" i="4"/>
  <c r="V185" i="4" s="1"/>
  <c r="C185" i="4"/>
  <c r="A173" i="4"/>
  <c r="A174" i="4"/>
  <c r="A175" i="4"/>
  <c r="A176" i="4"/>
  <c r="A177" i="4"/>
  <c r="A178" i="4"/>
  <c r="A179" i="4"/>
  <c r="A180" i="4"/>
  <c r="B173" i="4"/>
  <c r="B174" i="4"/>
  <c r="B175" i="4"/>
  <c r="B176" i="4"/>
  <c r="B177" i="4"/>
  <c r="B178" i="4"/>
  <c r="B179" i="4"/>
  <c r="B180" i="4"/>
  <c r="C173" i="4"/>
  <c r="C174" i="4"/>
  <c r="C175" i="4"/>
  <c r="C176" i="4"/>
  <c r="C177" i="4"/>
  <c r="C178" i="4"/>
  <c r="C179" i="4"/>
  <c r="C180" i="4"/>
  <c r="A167" i="4"/>
  <c r="Y167" i="4" s="1"/>
  <c r="D3" i="14" s="1" a="1"/>
  <c r="D3" i="14" s="1"/>
  <c r="A168" i="4"/>
  <c r="B167" i="4"/>
  <c r="U167" i="4" s="1"/>
  <c r="B168" i="4"/>
  <c r="C167" i="4"/>
  <c r="C168" i="4"/>
  <c r="A160" i="4"/>
  <c r="A161" i="4"/>
  <c r="B160" i="4"/>
  <c r="B161" i="4"/>
  <c r="C160" i="4"/>
  <c r="C161" i="4"/>
  <c r="A154" i="4"/>
  <c r="A155" i="4"/>
  <c r="A156" i="4"/>
  <c r="A157" i="4"/>
  <c r="A158" i="4"/>
  <c r="A159" i="4"/>
  <c r="B154" i="4"/>
  <c r="B155" i="4"/>
  <c r="B156" i="4"/>
  <c r="B157" i="4"/>
  <c r="B158" i="4"/>
  <c r="B159" i="4"/>
  <c r="C154" i="4"/>
  <c r="C155" i="4"/>
  <c r="C156" i="4"/>
  <c r="C157" i="4"/>
  <c r="C158" i="4"/>
  <c r="C159" i="4"/>
  <c r="A144" i="4"/>
  <c r="B144" i="4"/>
  <c r="C144" i="4"/>
  <c r="A137" i="4"/>
  <c r="A138" i="4"/>
  <c r="A139" i="4"/>
  <c r="A140" i="4"/>
  <c r="A141" i="4"/>
  <c r="A142" i="4"/>
  <c r="A143" i="4"/>
  <c r="B137" i="4"/>
  <c r="B138" i="4"/>
  <c r="B139" i="4"/>
  <c r="B140" i="4"/>
  <c r="B141" i="4"/>
  <c r="B142" i="4"/>
  <c r="B143" i="4"/>
  <c r="C137" i="4"/>
  <c r="C138" i="4"/>
  <c r="C139" i="4"/>
  <c r="C140" i="4"/>
  <c r="C141" i="4"/>
  <c r="C142" i="4"/>
  <c r="C143" i="4"/>
  <c r="A130" i="4"/>
  <c r="B130" i="4"/>
  <c r="C130" i="4"/>
  <c r="A129" i="4"/>
  <c r="X129" i="4" s="1"/>
  <c r="C3" i="14" s="1" a="1"/>
  <c r="C3" i="14" s="1"/>
  <c r="B129" i="4"/>
  <c r="T129" i="4" s="1"/>
  <c r="C129" i="4"/>
  <c r="A119" i="4"/>
  <c r="A120" i="4"/>
  <c r="A121" i="4"/>
  <c r="A122" i="4"/>
  <c r="A123" i="4"/>
  <c r="B119" i="4"/>
  <c r="B120" i="4"/>
  <c r="B121" i="4"/>
  <c r="B122" i="4"/>
  <c r="B123" i="4"/>
  <c r="C119" i="4"/>
  <c r="C120" i="4"/>
  <c r="C121" i="4"/>
  <c r="C122" i="4"/>
  <c r="C123" i="4"/>
  <c r="A106" i="4"/>
  <c r="A107" i="4"/>
  <c r="A108" i="4"/>
  <c r="A109" i="4"/>
  <c r="A110" i="4"/>
  <c r="A111" i="4"/>
  <c r="A112" i="4"/>
  <c r="A113" i="4"/>
  <c r="A114" i="4"/>
  <c r="B106" i="4"/>
  <c r="B107" i="4"/>
  <c r="B108" i="4"/>
  <c r="B109" i="4"/>
  <c r="B110" i="4"/>
  <c r="B111" i="4"/>
  <c r="B112" i="4"/>
  <c r="B113" i="4"/>
  <c r="B114" i="4"/>
  <c r="C106" i="4"/>
  <c r="C107" i="4"/>
  <c r="C108" i="4"/>
  <c r="C109" i="4"/>
  <c r="C110" i="4"/>
  <c r="C111" i="4"/>
  <c r="C112" i="4"/>
  <c r="C113" i="4"/>
  <c r="C114" i="4"/>
  <c r="A103" i="4"/>
  <c r="B103" i="4"/>
  <c r="C103" i="4"/>
  <c r="A102" i="4"/>
  <c r="AA102" i="4" s="1"/>
  <c r="F2" i="14" s="1" a="1"/>
  <c r="F2" i="14" s="1"/>
  <c r="B102" i="4"/>
  <c r="W102" i="4" s="1"/>
  <c r="C102" i="4"/>
  <c r="A95" i="4"/>
  <c r="Z95" i="4" s="1"/>
  <c r="E2" i="14" s="1" a="1"/>
  <c r="E2" i="14" s="1"/>
  <c r="B95" i="4"/>
  <c r="V95" i="4" s="1"/>
  <c r="C95" i="4"/>
  <c r="A14" i="4"/>
  <c r="B14" i="4"/>
  <c r="C14" i="4"/>
  <c r="A15" i="4"/>
  <c r="B15" i="4"/>
  <c r="C15" i="4"/>
  <c r="A16" i="4"/>
  <c r="B16" i="4"/>
  <c r="C16" i="4"/>
  <c r="A96" i="4"/>
  <c r="B96" i="4"/>
  <c r="C96" i="4"/>
  <c r="A91" i="4"/>
  <c r="A92" i="4"/>
  <c r="A93" i="4"/>
  <c r="A94" i="4"/>
  <c r="B91" i="4"/>
  <c r="B92" i="4"/>
  <c r="B93" i="4"/>
  <c r="B94" i="4"/>
  <c r="C91" i="4"/>
  <c r="C92" i="4"/>
  <c r="C93" i="4"/>
  <c r="C94" i="4"/>
  <c r="A84" i="4"/>
  <c r="A85" i="4"/>
  <c r="A86" i="4"/>
  <c r="A87" i="4"/>
  <c r="A88" i="4"/>
  <c r="Y88" i="4" s="1"/>
  <c r="D2" i="14" s="1" a="1"/>
  <c r="D2" i="14" s="1"/>
  <c r="B84" i="4"/>
  <c r="B85" i="4"/>
  <c r="B86" i="4"/>
  <c r="B87" i="4"/>
  <c r="B88" i="4"/>
  <c r="U88" i="4" s="1"/>
  <c r="G2" i="8" s="1" a="1"/>
  <c r="G2" i="8" s="1"/>
  <c r="C84" i="4"/>
  <c r="C85" i="4"/>
  <c r="C86" i="4"/>
  <c r="C87" i="4"/>
  <c r="C88" i="4"/>
  <c r="A79" i="4"/>
  <c r="B79" i="4"/>
  <c r="C79" i="4"/>
  <c r="A80" i="4"/>
  <c r="B80" i="4"/>
  <c r="C80" i="4"/>
  <c r="A81" i="4"/>
  <c r="B81" i="4"/>
  <c r="C81" i="4"/>
  <c r="A82" i="4"/>
  <c r="B82" i="4"/>
  <c r="C82" i="4"/>
  <c r="A71" i="4"/>
  <c r="B71" i="4"/>
  <c r="C71" i="4"/>
  <c r="A50" i="4"/>
  <c r="B50" i="4"/>
  <c r="C50" i="4"/>
  <c r="A51" i="4"/>
  <c r="B51" i="4"/>
  <c r="C51" i="4"/>
  <c r="A49" i="4"/>
  <c r="B49" i="4"/>
  <c r="C49" i="4"/>
  <c r="A47" i="4"/>
  <c r="B47" i="4"/>
  <c r="C47" i="4"/>
  <c r="A48" i="4"/>
  <c r="B48" i="4"/>
  <c r="C48" i="4"/>
  <c r="A52" i="4"/>
  <c r="B52" i="4"/>
  <c r="C52" i="4"/>
  <c r="A70" i="4"/>
  <c r="B70" i="4"/>
  <c r="C70" i="4"/>
  <c r="A65" i="4"/>
  <c r="B65" i="4"/>
  <c r="C65" i="4"/>
  <c r="A66" i="4"/>
  <c r="B66" i="4"/>
  <c r="C66" i="4"/>
  <c r="A67" i="4"/>
  <c r="B67" i="4"/>
  <c r="C67" i="4"/>
  <c r="A68" i="4"/>
  <c r="B68" i="4"/>
  <c r="C68" i="4"/>
  <c r="A69" i="4"/>
  <c r="B69" i="4"/>
  <c r="C69" i="4"/>
  <c r="A46" i="4"/>
  <c r="B46" i="4"/>
  <c r="C46" i="4"/>
  <c r="A39" i="4"/>
  <c r="B39" i="4"/>
  <c r="C39" i="4"/>
  <c r="A37" i="4"/>
  <c r="B37" i="4"/>
  <c r="C37" i="4"/>
  <c r="A38" i="4"/>
  <c r="B38" i="4"/>
  <c r="C38" i="4"/>
  <c r="A36" i="4"/>
  <c r="B36" i="4"/>
  <c r="C36" i="4"/>
  <c r="A35" i="4"/>
  <c r="B35" i="4"/>
  <c r="C35" i="4"/>
  <c r="X71" i="4" l="1"/>
  <c r="C15" i="14" s="1" a="1"/>
  <c r="C15" i="14" s="1"/>
  <c r="AA71" i="4"/>
  <c r="F15" i="14" s="1" a="1"/>
  <c r="F15" i="14" s="1"/>
  <c r="Z71" i="4"/>
  <c r="E15" i="14" s="1" a="1"/>
  <c r="E15" i="14" s="1"/>
  <c r="Y71" i="4"/>
  <c r="D15" i="14" s="1" a="1"/>
  <c r="D15" i="14" s="1"/>
  <c r="Y114" i="4"/>
  <c r="D21" i="14" s="1" a="1"/>
  <c r="D21" i="14" s="1"/>
  <c r="X114" i="4"/>
  <c r="C21" i="14" s="1" a="1"/>
  <c r="C21" i="14" s="1"/>
  <c r="Z114" i="4"/>
  <c r="E21" i="14" s="1" a="1"/>
  <c r="E21" i="14" s="1"/>
  <c r="AA114" i="4"/>
  <c r="F21" i="14" s="1" a="1"/>
  <c r="F21" i="14" s="1"/>
  <c r="AA46" i="4"/>
  <c r="F12" i="14" s="1" a="1"/>
  <c r="F12" i="14" s="1"/>
  <c r="Z46" i="4"/>
  <c r="E12" i="14" s="1" a="1"/>
  <c r="E12" i="14" s="1"/>
  <c r="Y46" i="4"/>
  <c r="D12" i="14" s="1" a="1"/>
  <c r="D12" i="14" s="1"/>
  <c r="X46" i="4"/>
  <c r="C12" i="14" s="1" a="1"/>
  <c r="C12" i="14" s="1"/>
  <c r="X35" i="4"/>
  <c r="C11" i="14" s="1" a="1"/>
  <c r="C11" i="14" s="1"/>
  <c r="Y35" i="4"/>
  <c r="D11" i="14" s="1" a="1"/>
  <c r="D11" i="14" s="1"/>
  <c r="AA123" i="4"/>
  <c r="F23" i="14" s="1" a="1"/>
  <c r="F23" i="14" s="1"/>
  <c r="Z123" i="4"/>
  <c r="E23" i="14" s="1" a="1"/>
  <c r="E23" i="14" s="1"/>
  <c r="X123" i="4"/>
  <c r="C23" i="14" s="1" a="1"/>
  <c r="C23" i="14" s="1"/>
  <c r="Y123" i="4"/>
  <c r="D23" i="14" s="1" a="1"/>
  <c r="D23" i="14" s="1"/>
  <c r="AA70" i="4"/>
  <c r="Y70" i="4"/>
  <c r="X70" i="4"/>
  <c r="Z70" i="4"/>
  <c r="Z82" i="4"/>
  <c r="E18" i="14" s="1" a="1"/>
  <c r="E18" i="14" s="1"/>
  <c r="AA82" i="4"/>
  <c r="F18" i="14" s="1" a="1"/>
  <c r="F18" i="14" s="1"/>
  <c r="Y82" i="4"/>
  <c r="D18" i="14" s="1" a="1"/>
  <c r="D18" i="14" s="1"/>
  <c r="X82" i="4"/>
  <c r="C18" i="14" s="1" a="1"/>
  <c r="C18" i="14" s="1"/>
  <c r="AA122" i="4"/>
  <c r="F22" i="14" s="1" a="1"/>
  <c r="F22" i="14" s="1"/>
  <c r="Y122" i="4"/>
  <c r="D22" i="14" s="1" a="1"/>
  <c r="D22" i="14" s="1"/>
  <c r="Z122" i="4"/>
  <c r="E22" i="14" s="1" a="1"/>
  <c r="E22" i="14" s="1"/>
  <c r="X122" i="4"/>
  <c r="C22" i="14" s="1" a="1"/>
  <c r="C22" i="14" s="1"/>
  <c r="Z161" i="4"/>
  <c r="E28" i="14" s="1" a="1"/>
  <c r="E28" i="14" s="1"/>
  <c r="AA161" i="4"/>
  <c r="F28" i="14" s="1" a="1"/>
  <c r="F28" i="14" s="1"/>
  <c r="Y180" i="4"/>
  <c r="D32" i="14" s="1" a="1"/>
  <c r="D32" i="14" s="1"/>
  <c r="X180" i="4"/>
  <c r="C32" i="14" s="1" a="1"/>
  <c r="C32" i="14" s="1"/>
  <c r="Z180" i="4"/>
  <c r="E32" i="14" s="1" a="1"/>
  <c r="E32" i="14" s="1"/>
  <c r="AA180" i="4"/>
  <c r="F32" i="14" s="1" a="1"/>
  <c r="F32" i="14" s="1"/>
  <c r="X195" i="4"/>
  <c r="C33" i="14" s="1" a="1"/>
  <c r="C33" i="14" s="1"/>
  <c r="Y195" i="4"/>
  <c r="D33" i="14" s="1" a="1"/>
  <c r="D33" i="14" s="1"/>
  <c r="Z144" i="4"/>
  <c r="E26" i="14" s="1" a="1"/>
  <c r="E26" i="14" s="1"/>
  <c r="X144" i="4"/>
  <c r="C26" i="14" s="1" a="1"/>
  <c r="C26" i="14" s="1"/>
  <c r="Y144" i="4"/>
  <c r="D26" i="14" s="1" a="1"/>
  <c r="D26" i="14" s="1"/>
  <c r="AA144" i="4"/>
  <c r="F26" i="14" s="1" a="1"/>
  <c r="F26" i="14" s="1"/>
  <c r="Y160" i="4"/>
  <c r="D28" i="14" s="1" a="1"/>
  <c r="D28" i="14" s="1"/>
  <c r="X160" i="4"/>
  <c r="C28" i="14" s="1" a="1"/>
  <c r="C28" i="14" s="1"/>
  <c r="AA96" i="4"/>
  <c r="F19" i="14" s="1" a="1"/>
  <c r="F19" i="14" s="1"/>
  <c r="Z96" i="4"/>
  <c r="E19" i="14" s="1" a="1"/>
  <c r="E19" i="14" s="1"/>
  <c r="X96" i="4"/>
  <c r="C19" i="14" s="1" a="1"/>
  <c r="C19" i="14" s="1"/>
  <c r="Y96" i="4"/>
  <c r="D19" i="14" s="1" a="1"/>
  <c r="D19" i="14" s="1"/>
  <c r="Y196" i="4"/>
  <c r="D34" i="14" s="1" a="1"/>
  <c r="D34" i="14" s="1"/>
  <c r="X196" i="4"/>
  <c r="C34" i="14" s="1" a="1"/>
  <c r="C34" i="14" s="1"/>
  <c r="W123" i="4"/>
  <c r="V123" i="4"/>
  <c r="H23" i="8" s="1" a="1"/>
  <c r="H23" i="8" s="1"/>
  <c r="U123" i="4"/>
  <c r="T123" i="4"/>
  <c r="T122" i="4"/>
  <c r="W122" i="4"/>
  <c r="U122" i="4"/>
  <c r="V122" i="4"/>
  <c r="T35" i="4"/>
  <c r="F11" i="8" s="1" a="1"/>
  <c r="F11" i="8" s="1"/>
  <c r="U35" i="4"/>
  <c r="V96" i="4"/>
  <c r="W96" i="4"/>
  <c r="I19" i="8" s="1" a="1"/>
  <c r="I19" i="8" s="1"/>
  <c r="U96" i="4"/>
  <c r="T96" i="4"/>
  <c r="V161" i="4"/>
  <c r="W161" i="4"/>
  <c r="W196" i="4"/>
  <c r="I34" i="8" s="1" a="1"/>
  <c r="I34" i="8" s="1"/>
  <c r="U196" i="4"/>
  <c r="T196" i="4"/>
  <c r="V196" i="4"/>
  <c r="U46" i="4"/>
  <c r="W46" i="4"/>
  <c r="V46" i="4"/>
  <c r="T46" i="4"/>
  <c r="T160" i="4"/>
  <c r="F28" i="8" s="1" a="1"/>
  <c r="F28" i="8" s="1"/>
  <c r="U160" i="4"/>
  <c r="T114" i="4"/>
  <c r="V114" i="4"/>
  <c r="W114" i="4"/>
  <c r="U114" i="4"/>
  <c r="V71" i="4"/>
  <c r="T71" i="4"/>
  <c r="W71" i="4"/>
  <c r="I15" i="8" s="1" a="1"/>
  <c r="I15" i="8" s="1"/>
  <c r="U71" i="4"/>
  <c r="V195" i="4"/>
  <c r="H33" i="8" s="1" a="1"/>
  <c r="H33" i="8" s="1"/>
  <c r="U195" i="4"/>
  <c r="W195" i="4"/>
  <c r="T195" i="4"/>
  <c r="W70" i="4"/>
  <c r="U70" i="4"/>
  <c r="V70" i="4"/>
  <c r="T70" i="4"/>
  <c r="V82" i="4"/>
  <c r="H18" i="8" s="1" a="1"/>
  <c r="H18" i="8" s="1"/>
  <c r="T82" i="4"/>
  <c r="F18" i="8" s="1" a="1"/>
  <c r="F18" i="8" s="1"/>
  <c r="U82" i="4"/>
  <c r="G18" i="8" s="1" a="1"/>
  <c r="G18" i="8" s="1"/>
  <c r="W82" i="4"/>
  <c r="I18" i="8" s="1" a="1"/>
  <c r="I18" i="8" s="1"/>
  <c r="U144" i="4"/>
  <c r="W144" i="4"/>
  <c r="V144" i="4"/>
  <c r="T144" i="4"/>
  <c r="F26" i="8" s="1" a="1"/>
  <c r="F26" i="8" s="1"/>
  <c r="W180" i="4"/>
  <c r="I32" i="8" s="1" a="1"/>
  <c r="I32" i="8" s="1"/>
  <c r="U180" i="4"/>
  <c r="T180" i="4"/>
  <c r="V180" i="4"/>
  <c r="I2" i="8" a="1"/>
  <c r="I2" i="8" s="1"/>
  <c r="F3" i="8" a="1"/>
  <c r="F3" i="8" s="1"/>
  <c r="G3" i="8" a="1"/>
  <c r="G3" i="8" s="1"/>
  <c r="I3" i="8" a="1"/>
  <c r="I3" i="8" s="1"/>
  <c r="F4" i="8" a="1"/>
  <c r="F4" i="8" s="1"/>
  <c r="H3" i="8" a="1"/>
  <c r="H3" i="8" s="1"/>
  <c r="H2" i="8" a="1"/>
  <c r="H2" i="8" s="1"/>
  <c r="I23" i="8" a="1"/>
  <c r="I23" i="8" s="1"/>
  <c r="A31" i="4"/>
  <c r="B31" i="4"/>
  <c r="C31" i="4"/>
  <c r="A32" i="4"/>
  <c r="B32" i="4"/>
  <c r="C32" i="4"/>
  <c r="A30" i="4"/>
  <c r="X30" i="4" s="1"/>
  <c r="C2" i="14" s="1" a="1"/>
  <c r="C2" i="14" s="1"/>
  <c r="B30" i="4"/>
  <c r="T30" i="4" s="1"/>
  <c r="C30" i="4"/>
  <c r="A29" i="4"/>
  <c r="B29" i="4"/>
  <c r="C29" i="4"/>
  <c r="A23" i="4"/>
  <c r="B23" i="4"/>
  <c r="C23" i="4"/>
  <c r="A27" i="4"/>
  <c r="B27" i="4"/>
  <c r="C27" i="4"/>
  <c r="A26" i="4"/>
  <c r="B26" i="4"/>
  <c r="C26" i="4"/>
  <c r="A22" i="4"/>
  <c r="B22" i="4"/>
  <c r="C22" i="4"/>
  <c r="A21" i="4"/>
  <c r="B21" i="4"/>
  <c r="C21" i="4"/>
  <c r="A2" i="4"/>
  <c r="G2" i="14" s="1"/>
  <c r="A3" i="4"/>
  <c r="H2" i="14" s="1"/>
  <c r="A4" i="4"/>
  <c r="I2" i="14" s="1"/>
  <c r="A5" i="4"/>
  <c r="J2" i="14" s="1"/>
  <c r="A6" i="4"/>
  <c r="G3" i="14" s="1"/>
  <c r="A7" i="4"/>
  <c r="H3" i="14" s="1"/>
  <c r="A8" i="4"/>
  <c r="I3" i="14" s="1"/>
  <c r="A9" i="4"/>
  <c r="A10" i="4"/>
  <c r="J3" i="14" s="1"/>
  <c r="A11" i="4"/>
  <c r="G4" i="14" s="1"/>
  <c r="A12" i="4"/>
  <c r="H4" i="14" s="1"/>
  <c r="A13" i="4"/>
  <c r="I4" i="14" s="1"/>
  <c r="A17" i="4"/>
  <c r="G8" i="14" s="1"/>
  <c r="A18" i="4"/>
  <c r="H8" i="14" s="1"/>
  <c r="A19" i="4"/>
  <c r="G9" i="14" s="1"/>
  <c r="A20" i="4"/>
  <c r="H9" i="14" s="1"/>
  <c r="A24" i="4"/>
  <c r="G10" i="14" s="1"/>
  <c r="A25" i="4"/>
  <c r="H10" i="14" s="1"/>
  <c r="A28" i="4"/>
  <c r="A33" i="4"/>
  <c r="G11" i="14" s="1"/>
  <c r="A34" i="4"/>
  <c r="H11" i="14" s="1"/>
  <c r="A40" i="4"/>
  <c r="G12" i="14" s="1"/>
  <c r="A41" i="4"/>
  <c r="H12" i="14" s="1"/>
  <c r="A42" i="4"/>
  <c r="G13" i="14" s="1"/>
  <c r="A43" i="4"/>
  <c r="H13" i="14" s="1"/>
  <c r="A44" i="4"/>
  <c r="A45" i="4"/>
  <c r="A97" i="4"/>
  <c r="G20" i="14" s="1"/>
  <c r="A98" i="4"/>
  <c r="A100" i="4"/>
  <c r="H5" i="14" s="1"/>
  <c r="A101" i="4"/>
  <c r="I5" i="14" s="1"/>
  <c r="A104" i="4"/>
  <c r="G21" i="14" s="1"/>
  <c r="A105" i="4"/>
  <c r="A55" i="4"/>
  <c r="G14" i="14" s="1"/>
  <c r="A56" i="4"/>
  <c r="H14" i="14" s="1"/>
  <c r="A57" i="4"/>
  <c r="G15" i="14" s="1"/>
  <c r="A58" i="4"/>
  <c r="H15" i="14" s="1"/>
  <c r="A59" i="4"/>
  <c r="A60" i="4"/>
  <c r="G16" i="14" s="1"/>
  <c r="A61" i="4"/>
  <c r="G5" i="14" s="1"/>
  <c r="A62" i="4"/>
  <c r="H16" i="14" s="1"/>
  <c r="A63" i="4"/>
  <c r="G17" i="14" s="1"/>
  <c r="A64" i="4"/>
  <c r="A77" i="4"/>
  <c r="H17" i="14" s="1"/>
  <c r="A78" i="4"/>
  <c r="G18" i="14" s="1"/>
  <c r="A83" i="4"/>
  <c r="H18" i="14" s="1"/>
  <c r="A89" i="4"/>
  <c r="G19" i="14" s="1"/>
  <c r="A90" i="4"/>
  <c r="H19" i="14" s="1"/>
  <c r="A116" i="4"/>
  <c r="G22" i="14" s="1"/>
  <c r="A117" i="4"/>
  <c r="H22" i="14" s="1"/>
  <c r="A118" i="4"/>
  <c r="G23" i="14" s="1"/>
  <c r="A124" i="4"/>
  <c r="H23" i="14" s="1"/>
  <c r="A125" i="4"/>
  <c r="A126" i="4"/>
  <c r="G24" i="14" s="1"/>
  <c r="A127" i="4"/>
  <c r="H24" i="14" s="1"/>
  <c r="A128" i="4"/>
  <c r="G25" i="14" s="1"/>
  <c r="A131" i="4"/>
  <c r="H25" i="14" s="1"/>
  <c r="A132" i="4"/>
  <c r="G26" i="14" s="1"/>
  <c r="A133" i="4"/>
  <c r="H26" i="14" s="1"/>
  <c r="A134" i="4"/>
  <c r="A135" i="4"/>
  <c r="G27" i="14" s="1"/>
  <c r="A136" i="4"/>
  <c r="H27" i="14" s="1"/>
  <c r="A151" i="4"/>
  <c r="H28" i="14" s="1"/>
  <c r="A152" i="4"/>
  <c r="A153" i="4"/>
  <c r="G29" i="14" s="1"/>
  <c r="A162" i="4"/>
  <c r="H29" i="14" s="1"/>
  <c r="A163" i="4"/>
  <c r="A164" i="4"/>
  <c r="G30" i="14" s="1"/>
  <c r="A165" i="4"/>
  <c r="H30" i="14" s="1"/>
  <c r="A166" i="4"/>
  <c r="G31" i="14" s="1"/>
  <c r="A169" i="4"/>
  <c r="H31" i="14" s="1"/>
  <c r="A170" i="4"/>
  <c r="A171" i="4"/>
  <c r="G32" i="14" s="1"/>
  <c r="A172" i="4"/>
  <c r="H32" i="14" s="1"/>
  <c r="A181" i="4"/>
  <c r="G33" i="14" s="1"/>
  <c r="A182" i="4"/>
  <c r="A183" i="4"/>
  <c r="G6" i="14" s="1"/>
  <c r="A184" i="4"/>
  <c r="H6" i="14" s="1"/>
  <c r="A186" i="4"/>
  <c r="G34" i="14" s="1"/>
  <c r="A187" i="4"/>
  <c r="G36" i="14" s="1"/>
  <c r="A188" i="4"/>
  <c r="H34" i="14" s="1"/>
  <c r="A197" i="4"/>
  <c r="G35" i="14" s="1"/>
  <c r="A198" i="4"/>
  <c r="A199" i="4"/>
  <c r="G7" i="14" s="1"/>
  <c r="A200" i="4"/>
  <c r="A201" i="4"/>
  <c r="H7" i="14" s="1"/>
  <c r="A202" i="4"/>
  <c r="I7" i="14" s="1"/>
  <c r="C2" i="4"/>
  <c r="C3" i="4"/>
  <c r="C4" i="4"/>
  <c r="C5" i="4"/>
  <c r="C6" i="4"/>
  <c r="C7" i="4"/>
  <c r="C8" i="4"/>
  <c r="C9" i="4"/>
  <c r="C10" i="4"/>
  <c r="C11" i="4"/>
  <c r="C12" i="4"/>
  <c r="C13" i="4"/>
  <c r="C17" i="4"/>
  <c r="C18" i="4"/>
  <c r="C19" i="4"/>
  <c r="C20" i="4"/>
  <c r="C24" i="4"/>
  <c r="C25" i="4"/>
  <c r="C28" i="4"/>
  <c r="C33" i="4"/>
  <c r="C34" i="4"/>
  <c r="C40" i="4"/>
  <c r="C41" i="4"/>
  <c r="C42" i="4"/>
  <c r="C43" i="4"/>
  <c r="C44" i="4"/>
  <c r="C45" i="4"/>
  <c r="C97" i="4"/>
  <c r="C98" i="4"/>
  <c r="C100" i="4"/>
  <c r="C101" i="4"/>
  <c r="C104" i="4"/>
  <c r="C105" i="4"/>
  <c r="C55" i="4"/>
  <c r="C56" i="4"/>
  <c r="C57" i="4"/>
  <c r="C58" i="4"/>
  <c r="C59" i="4"/>
  <c r="C60" i="4"/>
  <c r="C61" i="4"/>
  <c r="C62" i="4"/>
  <c r="C63" i="4"/>
  <c r="C64" i="4"/>
  <c r="C77" i="4"/>
  <c r="C78" i="4"/>
  <c r="C83" i="4"/>
  <c r="C89" i="4"/>
  <c r="C90" i="4"/>
  <c r="C116" i="4"/>
  <c r="C117" i="4"/>
  <c r="C118" i="4"/>
  <c r="C124" i="4"/>
  <c r="C125" i="4"/>
  <c r="C126" i="4"/>
  <c r="C127" i="4"/>
  <c r="C128" i="4"/>
  <c r="C131" i="4"/>
  <c r="C132" i="4"/>
  <c r="C133" i="4"/>
  <c r="C134" i="4"/>
  <c r="C135" i="4"/>
  <c r="C136" i="4"/>
  <c r="C151" i="4"/>
  <c r="C152" i="4"/>
  <c r="C153" i="4"/>
  <c r="C162" i="4"/>
  <c r="C163" i="4"/>
  <c r="C164" i="4"/>
  <c r="C165" i="4"/>
  <c r="C166" i="4"/>
  <c r="C169" i="4"/>
  <c r="C170" i="4"/>
  <c r="C171" i="4"/>
  <c r="C172" i="4"/>
  <c r="C181" i="4"/>
  <c r="C182" i="4"/>
  <c r="C183" i="4"/>
  <c r="C184" i="4"/>
  <c r="C186" i="4"/>
  <c r="C187" i="4"/>
  <c r="C188" i="4"/>
  <c r="C197" i="4"/>
  <c r="C198" i="4"/>
  <c r="C199" i="4"/>
  <c r="C200" i="4"/>
  <c r="C201" i="4"/>
  <c r="C202" i="4"/>
  <c r="B2" i="4"/>
  <c r="B3" i="4"/>
  <c r="B4" i="4"/>
  <c r="B5" i="4"/>
  <c r="B6" i="4"/>
  <c r="B7" i="4"/>
  <c r="B8" i="4"/>
  <c r="B9" i="4"/>
  <c r="B10" i="4"/>
  <c r="B11" i="4"/>
  <c r="B12" i="4"/>
  <c r="B13" i="4"/>
  <c r="B17" i="4"/>
  <c r="B18" i="4"/>
  <c r="B19" i="4"/>
  <c r="B20" i="4"/>
  <c r="B24" i="4"/>
  <c r="B25" i="4"/>
  <c r="B28" i="4"/>
  <c r="B33" i="4"/>
  <c r="B34" i="4"/>
  <c r="B40" i="4"/>
  <c r="B41" i="4"/>
  <c r="B42" i="4"/>
  <c r="B43" i="4"/>
  <c r="B44" i="4"/>
  <c r="B45" i="4"/>
  <c r="B97" i="4"/>
  <c r="B98" i="4"/>
  <c r="B100" i="4"/>
  <c r="B101" i="4"/>
  <c r="B104" i="4"/>
  <c r="B105" i="4"/>
  <c r="B55" i="4"/>
  <c r="B56" i="4"/>
  <c r="B57" i="4"/>
  <c r="B58" i="4"/>
  <c r="B59" i="4"/>
  <c r="B60" i="4"/>
  <c r="B61" i="4"/>
  <c r="B62" i="4"/>
  <c r="B63" i="4"/>
  <c r="B64" i="4"/>
  <c r="B77" i="4"/>
  <c r="B78" i="4"/>
  <c r="B83" i="4"/>
  <c r="B89" i="4"/>
  <c r="B90" i="4"/>
  <c r="B116" i="4"/>
  <c r="B117" i="4"/>
  <c r="B118" i="4"/>
  <c r="B124" i="4"/>
  <c r="B125" i="4"/>
  <c r="B126" i="4"/>
  <c r="B127" i="4"/>
  <c r="B128" i="4"/>
  <c r="B131" i="4"/>
  <c r="B132" i="4"/>
  <c r="B133" i="4"/>
  <c r="B134" i="4"/>
  <c r="B135" i="4"/>
  <c r="B136" i="4"/>
  <c r="B151" i="4"/>
  <c r="B152" i="4"/>
  <c r="B153" i="4"/>
  <c r="B162" i="4"/>
  <c r="B163" i="4"/>
  <c r="B164" i="4"/>
  <c r="B165" i="4"/>
  <c r="B166" i="4"/>
  <c r="B169" i="4"/>
  <c r="B170" i="4"/>
  <c r="B171" i="4"/>
  <c r="B172" i="4"/>
  <c r="B181" i="4"/>
  <c r="B182" i="4"/>
  <c r="B183" i="4"/>
  <c r="B184" i="4"/>
  <c r="B186" i="4"/>
  <c r="B187" i="4"/>
  <c r="B188" i="4"/>
  <c r="B197" i="4"/>
  <c r="B198" i="4"/>
  <c r="B199" i="4"/>
  <c r="B200" i="4"/>
  <c r="B201" i="4"/>
  <c r="B202" i="4"/>
  <c r="F220" i="13" a="1"/>
  <c r="F220" i="13" l="1"/>
  <c r="C220" i="13" a="1"/>
  <c r="C220" i="13" s="1"/>
  <c r="G220" i="13" s="1"/>
  <c r="E14" i="14" a="1"/>
  <c r="E14" i="14" s="1"/>
  <c r="Y22" i="4"/>
  <c r="D9" i="14" s="1" a="1"/>
  <c r="D9" i="14" s="1"/>
  <c r="X22" i="4"/>
  <c r="C9" i="14" s="1" a="1"/>
  <c r="C9" i="14" s="1"/>
  <c r="C14" i="14" a="1"/>
  <c r="C14" i="14" s="1"/>
  <c r="AA26" i="4"/>
  <c r="F9" i="14" s="1" a="1"/>
  <c r="F9" i="14" s="1"/>
  <c r="Z26" i="4"/>
  <c r="E9" i="14" s="1" a="1"/>
  <c r="E9" i="14" s="1"/>
  <c r="D14" i="14" a="1"/>
  <c r="D14" i="14" s="1"/>
  <c r="F14" i="14" a="1"/>
  <c r="F14" i="14" s="1"/>
  <c r="Z21" i="4"/>
  <c r="E8" i="14" s="1" a="1"/>
  <c r="E8" i="14" s="1"/>
  <c r="Y21" i="4"/>
  <c r="D8" i="14" s="1" a="1"/>
  <c r="D8" i="14" s="1"/>
  <c r="X21" i="4"/>
  <c r="C8" i="14" s="1" a="1"/>
  <c r="C8" i="14" s="1"/>
  <c r="AA21" i="4"/>
  <c r="F8" i="14" s="1" a="1"/>
  <c r="F8" i="14" s="1"/>
  <c r="Z27" i="4"/>
  <c r="E10" i="14" s="1" a="1"/>
  <c r="E10" i="14" s="1"/>
  <c r="X27" i="4"/>
  <c r="C10" i="14" s="1" a="1"/>
  <c r="C10" i="14" s="1"/>
  <c r="AA27" i="4"/>
  <c r="F10" i="14" s="1" a="1"/>
  <c r="F10" i="14" s="1"/>
  <c r="Y27" i="4"/>
  <c r="D10" i="14" s="1" a="1"/>
  <c r="D10" i="14" s="1"/>
  <c r="G26" i="8" a="1"/>
  <c r="G26" i="8" s="1"/>
  <c r="H15" i="8" a="1"/>
  <c r="H15" i="8" s="1"/>
  <c r="H12" i="8" a="1"/>
  <c r="H12" i="8" s="1"/>
  <c r="H28" i="8" a="1"/>
  <c r="H28" i="8" s="1"/>
  <c r="G22" i="8" a="1"/>
  <c r="G22" i="8" s="1"/>
  <c r="H32" i="8" a="1"/>
  <c r="H32" i="8" s="1"/>
  <c r="F33" i="8" a="1"/>
  <c r="F33" i="8" s="1"/>
  <c r="G21" i="8" a="1"/>
  <c r="G21" i="8" s="1"/>
  <c r="I12" i="8" a="1"/>
  <c r="I12" i="8" s="1"/>
  <c r="F19" i="8" a="1"/>
  <c r="F19" i="8" s="1"/>
  <c r="I22" i="8" a="1"/>
  <c r="I22" i="8" s="1"/>
  <c r="F32" i="8" a="1"/>
  <c r="F32" i="8" s="1"/>
  <c r="I33" i="8" a="1"/>
  <c r="I33" i="8" s="1"/>
  <c r="I21" i="8" a="1"/>
  <c r="I21" i="8" s="1"/>
  <c r="G12" i="8" a="1"/>
  <c r="G12" i="8" s="1"/>
  <c r="G19" i="8" a="1"/>
  <c r="G19" i="8" s="1"/>
  <c r="F22" i="8" a="1"/>
  <c r="F22" i="8" s="1"/>
  <c r="G32" i="8" a="1"/>
  <c r="G32" i="8" s="1"/>
  <c r="G33" i="8" a="1"/>
  <c r="G33" i="8" s="1"/>
  <c r="H21" i="8" a="1"/>
  <c r="H21" i="8" s="1"/>
  <c r="H34" i="8" a="1"/>
  <c r="H34" i="8" s="1"/>
  <c r="F23" i="8" a="1"/>
  <c r="F23" i="8" s="1"/>
  <c r="H26" i="8" a="1"/>
  <c r="H26" i="8" s="1"/>
  <c r="F21" i="8" a="1"/>
  <c r="F21" i="8" s="1"/>
  <c r="F34" i="8" a="1"/>
  <c r="F34" i="8" s="1"/>
  <c r="H19" i="8" a="1"/>
  <c r="H19" i="8" s="1"/>
  <c r="G23" i="8" a="1"/>
  <c r="G23" i="8" s="1"/>
  <c r="G15" i="8" a="1"/>
  <c r="G15" i="8" s="1"/>
  <c r="G28" i="8" a="1"/>
  <c r="G28" i="8" s="1"/>
  <c r="G34" i="8" a="1"/>
  <c r="G34" i="8" s="1"/>
  <c r="G11" i="8" a="1"/>
  <c r="G11" i="8" s="1"/>
  <c r="I26" i="8" a="1"/>
  <c r="I26" i="8" s="1"/>
  <c r="F15" i="8" a="1"/>
  <c r="F15" i="8" s="1"/>
  <c r="F12" i="8" a="1"/>
  <c r="F12" i="8" s="1"/>
  <c r="I28" i="8" a="1"/>
  <c r="I28" i="8" s="1"/>
  <c r="H22" i="8" a="1"/>
  <c r="H22" i="8" s="1"/>
  <c r="C135" i="13" a="1"/>
  <c r="C135" i="13" s="1"/>
  <c r="G135" i="13" s="1"/>
  <c r="C124" i="13" a="1"/>
  <c r="C124" i="13" s="1"/>
  <c r="G124" i="13" s="1"/>
  <c r="C398" i="13" a="1"/>
  <c r="C398" i="13" s="1"/>
  <c r="G398" i="13" s="1"/>
  <c r="C395" i="13" a="1"/>
  <c r="C395" i="13" s="1"/>
  <c r="G395" i="13" s="1"/>
  <c r="C393" i="13" a="1"/>
  <c r="C393" i="13" s="1"/>
  <c r="G393" i="13" s="1"/>
  <c r="C397" i="13" a="1"/>
  <c r="C397" i="13" s="1"/>
  <c r="G397" i="13" s="1"/>
  <c r="C394" i="13" a="1"/>
  <c r="C394" i="13" s="1"/>
  <c r="G394" i="13" s="1"/>
  <c r="C396" i="13" a="1"/>
  <c r="C396" i="13" s="1"/>
  <c r="G396" i="13" s="1"/>
  <c r="C392" i="13" a="1"/>
  <c r="C392" i="13" s="1"/>
  <c r="G392" i="13" s="1"/>
  <c r="C390" i="13" a="1"/>
  <c r="C390" i="13" s="1"/>
  <c r="G390" i="13" s="1"/>
  <c r="C389" i="13" a="1"/>
  <c r="C389" i="13" s="1"/>
  <c r="G389" i="13" s="1"/>
  <c r="C388" i="13" a="1"/>
  <c r="C388" i="13" s="1"/>
  <c r="G388" i="13" s="1"/>
  <c r="C387" i="13" a="1"/>
  <c r="C387" i="13" s="1"/>
  <c r="G387" i="13" s="1"/>
  <c r="C391" i="13" a="1"/>
  <c r="C391" i="13" s="1"/>
  <c r="G391" i="13" s="1"/>
  <c r="C386" i="13" a="1"/>
  <c r="C386" i="13" s="1"/>
  <c r="G386" i="13" s="1"/>
  <c r="C385" i="13" a="1"/>
  <c r="C385" i="13" s="1"/>
  <c r="G385" i="13" s="1"/>
  <c r="C384" i="13" a="1"/>
  <c r="C384" i="13" s="1"/>
  <c r="G384" i="13" s="1"/>
  <c r="C381" i="13" a="1"/>
  <c r="C381" i="13" s="1"/>
  <c r="G381" i="13" s="1"/>
  <c r="C383" i="13" a="1"/>
  <c r="C383" i="13" s="1"/>
  <c r="G383" i="13" s="1"/>
  <c r="C382" i="13" a="1"/>
  <c r="C382" i="13" s="1"/>
  <c r="G382" i="13" s="1"/>
  <c r="C378" i="13" a="1"/>
  <c r="C378" i="13" s="1"/>
  <c r="G378" i="13" s="1"/>
  <c r="C380" i="13" a="1"/>
  <c r="C380" i="13" s="1"/>
  <c r="G380" i="13" s="1"/>
  <c r="C377" i="13" a="1"/>
  <c r="C377" i="13" s="1"/>
  <c r="G377" i="13" s="1"/>
  <c r="C379" i="13" a="1"/>
  <c r="C379" i="13" s="1"/>
  <c r="G379" i="13" s="1"/>
  <c r="C374" i="13" a="1"/>
  <c r="C374" i="13" s="1"/>
  <c r="G374" i="13" s="1"/>
  <c r="C372" i="13" a="1"/>
  <c r="C372" i="13" s="1"/>
  <c r="G372" i="13" s="1"/>
  <c r="C366" i="13" a="1"/>
  <c r="C366" i="13" s="1"/>
  <c r="G366" i="13" s="1"/>
  <c r="C354" i="13" a="1"/>
  <c r="C354" i="13" s="1"/>
  <c r="G354" i="13" s="1"/>
  <c r="C334" i="13" a="1"/>
  <c r="C334" i="13" s="1"/>
  <c r="G334" i="13" s="1"/>
  <c r="C346" i="13" a="1"/>
  <c r="C346" i="13" s="1"/>
  <c r="G346" i="13" s="1"/>
  <c r="C338" i="13" a="1"/>
  <c r="C338" i="13" s="1"/>
  <c r="G338" i="13" s="1"/>
  <c r="C315" i="13" a="1"/>
  <c r="C315" i="13" s="1"/>
  <c r="G315" i="13" s="1"/>
  <c r="C368" i="13" a="1"/>
  <c r="C368" i="13" s="1"/>
  <c r="G368" i="13" s="1"/>
  <c r="C319" i="13" a="1"/>
  <c r="C319" i="13" s="1"/>
  <c r="G319" i="13" s="1"/>
  <c r="C312" i="13" a="1"/>
  <c r="C312" i="13" s="1"/>
  <c r="G312" i="13" s="1"/>
  <c r="C369" i="13" a="1"/>
  <c r="C369" i="13" s="1"/>
  <c r="G369" i="13" s="1"/>
  <c r="C363" i="13" a="1"/>
  <c r="C363" i="13" s="1"/>
  <c r="G363" i="13" s="1"/>
  <c r="C353" i="13" a="1"/>
  <c r="C353" i="13" s="1"/>
  <c r="G353" i="13" s="1"/>
  <c r="C331" i="13" a="1"/>
  <c r="C331" i="13" s="1"/>
  <c r="G331" i="13" s="1"/>
  <c r="C343" i="13" a="1"/>
  <c r="C343" i="13" s="1"/>
  <c r="G343" i="13" s="1"/>
  <c r="C337" i="13" a="1"/>
  <c r="C337" i="13" s="1"/>
  <c r="G337" i="13" s="1"/>
  <c r="C316" i="13" a="1"/>
  <c r="C316" i="13" s="1"/>
  <c r="G316" i="13" s="1"/>
  <c r="C350" i="13" a="1"/>
  <c r="C350" i="13" s="1"/>
  <c r="G350" i="13" s="1"/>
  <c r="C375" i="13" a="1"/>
  <c r="C375" i="13" s="1"/>
  <c r="G375" i="13" s="1"/>
  <c r="C320" i="13" a="1"/>
  <c r="C320" i="13" s="1"/>
  <c r="G320" i="13" s="1"/>
  <c r="C376" i="13" a="1"/>
  <c r="C376" i="13" s="1"/>
  <c r="G376" i="13" s="1"/>
  <c r="C352" i="13" a="1"/>
  <c r="C352" i="13" s="1"/>
  <c r="G352" i="13" s="1"/>
  <c r="C328" i="13" a="1"/>
  <c r="C328" i="13" s="1"/>
  <c r="G328" i="13" s="1"/>
  <c r="C309" i="13" a="1"/>
  <c r="C309" i="13" s="1"/>
  <c r="G309" i="13" s="1"/>
  <c r="C317" i="13" a="1"/>
  <c r="C317" i="13" s="1"/>
  <c r="G317" i="13" s="1"/>
  <c r="C330" i="13" a="1"/>
  <c r="C330" i="13" s="1"/>
  <c r="G330" i="13" s="1"/>
  <c r="C349" i="13" a="1"/>
  <c r="C349" i="13" s="1"/>
  <c r="G349" i="13" s="1"/>
  <c r="C373" i="13" a="1"/>
  <c r="C373" i="13" s="1"/>
  <c r="G373" i="13" s="1"/>
  <c r="C371" i="13" a="1"/>
  <c r="C371" i="13" s="1"/>
  <c r="G371" i="13" s="1"/>
  <c r="C365" i="13" a="1"/>
  <c r="C365" i="13" s="1"/>
  <c r="G365" i="13" s="1"/>
  <c r="C351" i="13" a="1"/>
  <c r="C351" i="13" s="1"/>
  <c r="G351" i="13" s="1"/>
  <c r="C333" i="13" a="1"/>
  <c r="C333" i="13" s="1"/>
  <c r="G333" i="13" s="1"/>
  <c r="C345" i="13" a="1"/>
  <c r="C345" i="13" s="1"/>
  <c r="G345" i="13" s="1"/>
  <c r="C310" i="13" a="1"/>
  <c r="C310" i="13" s="1"/>
  <c r="G310" i="13" s="1"/>
  <c r="C318" i="13" a="1"/>
  <c r="C318" i="13" s="1"/>
  <c r="G318" i="13" s="1"/>
  <c r="C342" i="13" a="1"/>
  <c r="C342" i="13" s="1"/>
  <c r="G342" i="13" s="1"/>
  <c r="C327" i="13" a="1"/>
  <c r="C327" i="13" s="1"/>
  <c r="G327" i="13" s="1"/>
  <c r="C370" i="13" a="1"/>
  <c r="C370" i="13" s="1"/>
  <c r="G370" i="13" s="1"/>
  <c r="C364" i="13" a="1"/>
  <c r="C364" i="13" s="1"/>
  <c r="G364" i="13" s="1"/>
  <c r="C356" i="13" a="1"/>
  <c r="C356" i="13" s="1"/>
  <c r="G356" i="13" s="1"/>
  <c r="C332" i="13" a="1"/>
  <c r="C332" i="13" s="1"/>
  <c r="G332" i="13" s="1"/>
  <c r="C344" i="13" a="1"/>
  <c r="C344" i="13" s="1"/>
  <c r="G344" i="13" s="1"/>
  <c r="C340" i="13" a="1"/>
  <c r="C340" i="13" s="1"/>
  <c r="G340" i="13" s="1"/>
  <c r="C313" i="13" a="1"/>
  <c r="C313" i="13" s="1"/>
  <c r="G313" i="13" s="1"/>
  <c r="C321" i="13" a="1"/>
  <c r="C321" i="13" s="1"/>
  <c r="G321" i="13" s="1"/>
  <c r="C311" i="13" a="1"/>
  <c r="C311" i="13" s="1"/>
  <c r="G311" i="13" s="1"/>
  <c r="C341" i="13" a="1"/>
  <c r="C341" i="13" s="1"/>
  <c r="G341" i="13" s="1"/>
  <c r="C367" i="13" a="1"/>
  <c r="C367" i="13" s="1"/>
  <c r="G367" i="13" s="1"/>
  <c r="C355" i="13" a="1"/>
  <c r="C355" i="13" s="1"/>
  <c r="G355" i="13" s="1"/>
  <c r="C329" i="13" a="1"/>
  <c r="C329" i="13" s="1"/>
  <c r="G329" i="13" s="1"/>
  <c r="C339" i="13" a="1"/>
  <c r="C339" i="13" s="1"/>
  <c r="G339" i="13" s="1"/>
  <c r="C314" i="13" a="1"/>
  <c r="C314" i="13" s="1"/>
  <c r="G314" i="13" s="1"/>
  <c r="C322" i="13" a="1"/>
  <c r="C322" i="13" s="1"/>
  <c r="G322" i="13" s="1"/>
  <c r="C336" i="13" a="1"/>
  <c r="C336" i="13" s="1"/>
  <c r="G336" i="13" s="1"/>
  <c r="C335" i="13" a="1"/>
  <c r="C335" i="13" s="1"/>
  <c r="G335" i="13" s="1"/>
  <c r="C287" i="13" a="1"/>
  <c r="C287" i="13" s="1"/>
  <c r="G287" i="13" s="1"/>
  <c r="C293" i="13" a="1"/>
  <c r="C293" i="13" s="1"/>
  <c r="G293" i="13" s="1"/>
  <c r="C299" i="13" a="1"/>
  <c r="C299" i="13" s="1"/>
  <c r="G299" i="13" s="1"/>
  <c r="C305" i="13" a="1"/>
  <c r="C305" i="13" s="1"/>
  <c r="G305" i="13" s="1"/>
  <c r="C325" i="13" a="1"/>
  <c r="C325" i="13" s="1"/>
  <c r="G325" i="13" s="1"/>
  <c r="C273" i="13" a="1"/>
  <c r="C273" i="13" s="1"/>
  <c r="G273" i="13" s="1"/>
  <c r="C282" i="13" a="1"/>
  <c r="C282" i="13" s="1"/>
  <c r="G282" i="13" s="1"/>
  <c r="C263" i="13" a="1"/>
  <c r="C263" i="13" s="1"/>
  <c r="G263" i="13" s="1"/>
  <c r="C281" i="13" a="1"/>
  <c r="C281" i="13" s="1"/>
  <c r="G281" i="13" s="1"/>
  <c r="C288" i="13" a="1"/>
  <c r="C288" i="13" s="1"/>
  <c r="G288" i="13" s="1"/>
  <c r="C294" i="13" a="1"/>
  <c r="C294" i="13" s="1"/>
  <c r="G294" i="13" s="1"/>
  <c r="C300" i="13" a="1"/>
  <c r="C300" i="13" s="1"/>
  <c r="G300" i="13" s="1"/>
  <c r="C306" i="13" a="1"/>
  <c r="C306" i="13" s="1"/>
  <c r="G306" i="13" s="1"/>
  <c r="C266" i="13" a="1"/>
  <c r="C266" i="13" s="1"/>
  <c r="G266" i="13" s="1"/>
  <c r="C274" i="13" a="1"/>
  <c r="C274" i="13" s="1"/>
  <c r="G274" i="13" s="1"/>
  <c r="C283" i="13" a="1"/>
  <c r="C283" i="13" s="1"/>
  <c r="G283" i="13" s="1"/>
  <c r="C264" i="13" a="1"/>
  <c r="C264" i="13" s="1"/>
  <c r="G264" i="13" s="1"/>
  <c r="C358" i="13" a="1"/>
  <c r="C358" i="13" s="1"/>
  <c r="G358" i="13" s="1"/>
  <c r="C262" i="13" a="1"/>
  <c r="C262" i="13" s="1"/>
  <c r="G262" i="13" s="1"/>
  <c r="C289" i="13" a="1"/>
  <c r="C289" i="13" s="1"/>
  <c r="G289" i="13" s="1"/>
  <c r="C295" i="13" a="1"/>
  <c r="C295" i="13" s="1"/>
  <c r="G295" i="13" s="1"/>
  <c r="C301" i="13" a="1"/>
  <c r="C301" i="13" s="1"/>
  <c r="G301" i="13" s="1"/>
  <c r="C267" i="13" a="1"/>
  <c r="C267" i="13" s="1"/>
  <c r="G267" i="13" s="1"/>
  <c r="C275" i="13" a="1"/>
  <c r="C275" i="13" s="1"/>
  <c r="G275" i="13" s="1"/>
  <c r="C284" i="13" a="1"/>
  <c r="C284" i="13" s="1"/>
  <c r="G284" i="13" s="1"/>
  <c r="C265" i="13" a="1"/>
  <c r="C265" i="13" s="1"/>
  <c r="G265" i="13" s="1"/>
  <c r="C324" i="13" a="1"/>
  <c r="C324" i="13" s="1"/>
  <c r="G324" i="13" s="1"/>
  <c r="C290" i="13" a="1"/>
  <c r="C290" i="13" s="1"/>
  <c r="G290" i="13" s="1"/>
  <c r="C296" i="13" a="1"/>
  <c r="C296" i="13" s="1"/>
  <c r="G296" i="13" s="1"/>
  <c r="C326" i="13" a="1"/>
  <c r="C326" i="13" s="1"/>
  <c r="G326" i="13" s="1"/>
  <c r="C268" i="13" a="1"/>
  <c r="C268" i="13" s="1"/>
  <c r="G268" i="13" s="1"/>
  <c r="C276" i="13" a="1"/>
  <c r="C276" i="13" s="1"/>
  <c r="G276" i="13" s="1"/>
  <c r="C285" i="13" a="1"/>
  <c r="C285" i="13" s="1"/>
  <c r="G285" i="13" s="1"/>
  <c r="C277" i="13" a="1"/>
  <c r="C277" i="13" s="1"/>
  <c r="G277" i="13" s="1"/>
  <c r="C304" i="13" a="1"/>
  <c r="C304" i="13" s="1"/>
  <c r="G304" i="13" s="1"/>
  <c r="C291" i="13" a="1"/>
  <c r="C291" i="13" s="1"/>
  <c r="G291" i="13" s="1"/>
  <c r="C307" i="13" a="1"/>
  <c r="C307" i="13" s="1"/>
  <c r="G307" i="13" s="1"/>
  <c r="C347" i="13" a="1"/>
  <c r="C347" i="13" s="1"/>
  <c r="G347" i="13" s="1"/>
  <c r="C269" i="13" a="1"/>
  <c r="C269" i="13" s="1"/>
  <c r="G269" i="13" s="1"/>
  <c r="C286" i="13" a="1"/>
  <c r="C286" i="13" s="1"/>
  <c r="G286" i="13" s="1"/>
  <c r="C278" i="13" a="1"/>
  <c r="C278" i="13" s="1"/>
  <c r="G278" i="13" s="1"/>
  <c r="C298" i="13" a="1"/>
  <c r="C298" i="13" s="1"/>
  <c r="G298" i="13" s="1"/>
  <c r="C302" i="13" a="1"/>
  <c r="C302" i="13" s="1"/>
  <c r="G302" i="13" s="1"/>
  <c r="C308" i="13" a="1"/>
  <c r="C308" i="13" s="1"/>
  <c r="G308" i="13" s="1"/>
  <c r="C348" i="13" a="1"/>
  <c r="C348" i="13" s="1"/>
  <c r="G348" i="13" s="1"/>
  <c r="C270" i="13" a="1"/>
  <c r="C270" i="13" s="1"/>
  <c r="G270" i="13" s="1"/>
  <c r="C279" i="13" a="1"/>
  <c r="C279" i="13" s="1"/>
  <c r="G279" i="13" s="1"/>
  <c r="C292" i="13" a="1"/>
  <c r="C292" i="13" s="1"/>
  <c r="G292" i="13" s="1"/>
  <c r="C297" i="13" a="1"/>
  <c r="C297" i="13" s="1"/>
  <c r="G297" i="13" s="1"/>
  <c r="C303" i="13" a="1"/>
  <c r="C303" i="13" s="1"/>
  <c r="G303" i="13" s="1"/>
  <c r="C323" i="13" a="1"/>
  <c r="C323" i="13" s="1"/>
  <c r="G323" i="13" s="1"/>
  <c r="C357" i="13" a="1"/>
  <c r="C357" i="13" s="1"/>
  <c r="G357" i="13" s="1"/>
  <c r="C271" i="13" a="1"/>
  <c r="C271" i="13" s="1"/>
  <c r="G271" i="13" s="1"/>
  <c r="C280" i="13" a="1"/>
  <c r="C280" i="13" s="1"/>
  <c r="G280" i="13" s="1"/>
  <c r="C261" i="13" a="1"/>
  <c r="C261" i="13" s="1"/>
  <c r="G261" i="13" s="1"/>
  <c r="C272" i="13" a="1"/>
  <c r="C272" i="13" s="1"/>
  <c r="G272" i="13" s="1"/>
  <c r="C361" i="13" a="1"/>
  <c r="C361" i="13" s="1"/>
  <c r="G361" i="13" s="1"/>
  <c r="C360" i="13" a="1"/>
  <c r="C360" i="13" s="1"/>
  <c r="G360" i="13" s="1"/>
  <c r="C362" i="13" a="1"/>
  <c r="C362" i="13" s="1"/>
  <c r="G362" i="13" s="1"/>
  <c r="C359" i="13" a="1"/>
  <c r="C359" i="13" s="1"/>
  <c r="G359" i="13" s="1"/>
  <c r="C253" i="13" a="1"/>
  <c r="C253" i="13" s="1"/>
  <c r="G253" i="13" s="1"/>
  <c r="C245" i="13" a="1"/>
  <c r="C245" i="13" s="1"/>
  <c r="G245" i="13" s="1"/>
  <c r="C238" i="13" a="1"/>
  <c r="C238" i="13" s="1"/>
  <c r="G238" i="13" s="1"/>
  <c r="C254" i="13" a="1"/>
  <c r="C254" i="13" s="1"/>
  <c r="G254" i="13" s="1"/>
  <c r="C258" i="13" a="1"/>
  <c r="C258" i="13" s="1"/>
  <c r="G258" i="13" s="1"/>
  <c r="C250" i="13" a="1"/>
  <c r="C250" i="13" s="1"/>
  <c r="G250" i="13" s="1"/>
  <c r="C243" i="13" a="1"/>
  <c r="C243" i="13" s="1"/>
  <c r="G243" i="13" s="1"/>
  <c r="C235" i="13" a="1"/>
  <c r="C235" i="13" s="1"/>
  <c r="G235" i="13" s="1"/>
  <c r="C234" i="13" a="1"/>
  <c r="C234" i="13" s="1"/>
  <c r="G234" i="13" s="1"/>
  <c r="C255" i="13" a="1"/>
  <c r="C255" i="13" s="1"/>
  <c r="G255" i="13" s="1"/>
  <c r="C247" i="13" a="1"/>
  <c r="C247" i="13" s="1"/>
  <c r="G247" i="13" s="1"/>
  <c r="C240" i="13" a="1"/>
  <c r="C240" i="13" s="1"/>
  <c r="G240" i="13" s="1"/>
  <c r="C236" i="13" a="1"/>
  <c r="C236" i="13" s="1"/>
  <c r="G236" i="13" s="1"/>
  <c r="C260" i="13" a="1"/>
  <c r="C260" i="13" s="1"/>
  <c r="G260" i="13" s="1"/>
  <c r="C252" i="13" a="1"/>
  <c r="C252" i="13" s="1"/>
  <c r="G252" i="13" s="1"/>
  <c r="C237" i="13" a="1"/>
  <c r="C237" i="13" s="1"/>
  <c r="G237" i="13" s="1"/>
  <c r="C239" i="13" a="1"/>
  <c r="C239" i="13" s="1"/>
  <c r="G239" i="13" s="1"/>
  <c r="C257" i="13" a="1"/>
  <c r="C257" i="13" s="1"/>
  <c r="G257" i="13" s="1"/>
  <c r="C249" i="13" a="1"/>
  <c r="C249" i="13" s="1"/>
  <c r="G249" i="13" s="1"/>
  <c r="C242" i="13" a="1"/>
  <c r="C242" i="13" s="1"/>
  <c r="G242" i="13" s="1"/>
  <c r="C259" i="13" a="1"/>
  <c r="C259" i="13" s="1"/>
  <c r="G259" i="13" s="1"/>
  <c r="C251" i="13" a="1"/>
  <c r="C251" i="13" s="1"/>
  <c r="G251" i="13" s="1"/>
  <c r="C244" i="13" a="1"/>
  <c r="C244" i="13" s="1"/>
  <c r="G244" i="13" s="1"/>
  <c r="C256" i="13" a="1"/>
  <c r="C256" i="13" s="1"/>
  <c r="G256" i="13" s="1"/>
  <c r="C248" i="13" a="1"/>
  <c r="C248" i="13" s="1"/>
  <c r="G248" i="13" s="1"/>
  <c r="C241" i="13" a="1"/>
  <c r="C241" i="13" s="1"/>
  <c r="G241" i="13" s="1"/>
  <c r="C246" i="13" a="1"/>
  <c r="C246" i="13" s="1"/>
  <c r="G246" i="13" s="1"/>
  <c r="C233" i="13" a="1"/>
  <c r="C233" i="13" s="1"/>
  <c r="G233" i="13" s="1"/>
  <c r="C223" i="13" a="1"/>
  <c r="C223" i="13" s="1"/>
  <c r="G223" i="13" s="1"/>
  <c r="C230" i="13" a="1"/>
  <c r="C230" i="13" s="1"/>
  <c r="G230" i="13" s="1"/>
  <c r="C228" i="13" a="1"/>
  <c r="C228" i="13" s="1"/>
  <c r="G228" i="13" s="1"/>
  <c r="C222" i="13" a="1"/>
  <c r="C222" i="13" s="1"/>
  <c r="G222" i="13" s="1"/>
  <c r="C227" i="13" a="1"/>
  <c r="C227" i="13" s="1"/>
  <c r="G227" i="13" s="1"/>
  <c r="C226" i="13" a="1"/>
  <c r="C226" i="13" s="1"/>
  <c r="G226" i="13" s="1"/>
  <c r="C232" i="13" a="1"/>
  <c r="C232" i="13" s="1"/>
  <c r="G232" i="13" s="1"/>
  <c r="C225" i="13" a="1"/>
  <c r="C225" i="13" s="1"/>
  <c r="G225" i="13" s="1"/>
  <c r="C229" i="13" a="1"/>
  <c r="C229" i="13" s="1"/>
  <c r="G229" i="13" s="1"/>
  <c r="C221" i="13" a="1"/>
  <c r="C221" i="13" s="1"/>
  <c r="G221" i="13" s="1"/>
  <c r="C231" i="13" a="1"/>
  <c r="C231" i="13" s="1"/>
  <c r="G231" i="13" s="1"/>
  <c r="C224" i="13" a="1"/>
  <c r="C224" i="13" s="1"/>
  <c r="G224" i="13" s="1"/>
  <c r="C219" i="13" a="1"/>
  <c r="C219" i="13" s="1"/>
  <c r="G219" i="13" s="1"/>
  <c r="C217" i="13" a="1"/>
  <c r="C217" i="13" s="1"/>
  <c r="G217" i="13" s="1"/>
  <c r="C218" i="13" a="1"/>
  <c r="C218" i="13" s="1"/>
  <c r="G218" i="13" s="1"/>
  <c r="C212" i="13" a="1"/>
  <c r="C212" i="13" s="1"/>
  <c r="G212" i="13" s="1"/>
  <c r="C202" i="13" a="1"/>
  <c r="C202" i="13" s="1"/>
  <c r="G202" i="13" s="1"/>
  <c r="C180" i="13" a="1"/>
  <c r="C180" i="13" s="1"/>
  <c r="G180" i="13" s="1"/>
  <c r="C215" i="13" a="1"/>
  <c r="C215" i="13" s="1"/>
  <c r="G215" i="13" s="1"/>
  <c r="C209" i="13" a="1"/>
  <c r="C209" i="13" s="1"/>
  <c r="G209" i="13" s="1"/>
  <c r="C207" i="13" a="1"/>
  <c r="C207" i="13" s="1"/>
  <c r="G207" i="13" s="1"/>
  <c r="C191" i="13" a="1"/>
  <c r="C191" i="13" s="1"/>
  <c r="G191" i="13" s="1"/>
  <c r="C183" i="13" a="1"/>
  <c r="C183" i="13" s="1"/>
  <c r="G183" i="13" s="1"/>
  <c r="C210" i="13" a="1"/>
  <c r="C210" i="13" s="1"/>
  <c r="G210" i="13" s="1"/>
  <c r="C192" i="13" a="1"/>
  <c r="C192" i="13" s="1"/>
  <c r="G192" i="13" s="1"/>
  <c r="C199" i="13" a="1"/>
  <c r="C199" i="13" s="1"/>
  <c r="G199" i="13" s="1"/>
  <c r="C189" i="13" a="1"/>
  <c r="C189" i="13" s="1"/>
  <c r="G189" i="13" s="1"/>
  <c r="C204" i="13" a="1"/>
  <c r="C204" i="13" s="1"/>
  <c r="G204" i="13" s="1"/>
  <c r="C198" i="13" a="1"/>
  <c r="C198" i="13" s="1"/>
  <c r="G198" i="13" s="1"/>
  <c r="C196" i="13" a="1"/>
  <c r="C196" i="13" s="1"/>
  <c r="G196" i="13" s="1"/>
  <c r="C188" i="13" a="1"/>
  <c r="C188" i="13" s="1"/>
  <c r="G188" i="13" s="1"/>
  <c r="C206" i="13" a="1"/>
  <c r="C206" i="13" s="1"/>
  <c r="G206" i="13" s="1"/>
  <c r="C190" i="13" a="1"/>
  <c r="C190" i="13" s="1"/>
  <c r="G190" i="13" s="1"/>
  <c r="C203" i="13" a="1"/>
  <c r="C203" i="13" s="1"/>
  <c r="G203" i="13" s="1"/>
  <c r="C195" i="13" a="1"/>
  <c r="C195" i="13" s="1"/>
  <c r="G195" i="13" s="1"/>
  <c r="C181" i="13" a="1"/>
  <c r="C181" i="13" s="1"/>
  <c r="G181" i="13" s="1"/>
  <c r="C208" i="13" a="1"/>
  <c r="C208" i="13" s="1"/>
  <c r="G208" i="13" s="1"/>
  <c r="C213" i="13" a="1"/>
  <c r="C213" i="13" s="1"/>
  <c r="G213" i="13" s="1"/>
  <c r="C194" i="13" a="1"/>
  <c r="C194" i="13" s="1"/>
  <c r="G194" i="13" s="1"/>
  <c r="C211" i="13" a="1"/>
  <c r="C211" i="13" s="1"/>
  <c r="G211" i="13" s="1"/>
  <c r="C201" i="13" a="1"/>
  <c r="C201" i="13" s="1"/>
  <c r="G201" i="13" s="1"/>
  <c r="C193" i="13" a="1"/>
  <c r="C193" i="13" s="1"/>
  <c r="G193" i="13" s="1"/>
  <c r="C185" i="13" a="1"/>
  <c r="C185" i="13" s="1"/>
  <c r="G185" i="13" s="1"/>
  <c r="C179" i="13" a="1"/>
  <c r="C179" i="13" s="1"/>
  <c r="G179" i="13" s="1"/>
  <c r="C214" i="13" a="1"/>
  <c r="C214" i="13" s="1"/>
  <c r="G214" i="13" s="1"/>
  <c r="C200" i="13" a="1"/>
  <c r="C200" i="13" s="1"/>
  <c r="G200" i="13" s="1"/>
  <c r="C182" i="13" a="1"/>
  <c r="C182" i="13" s="1"/>
  <c r="G182" i="13" s="1"/>
  <c r="C197" i="13" a="1"/>
  <c r="C197" i="13" s="1"/>
  <c r="G197" i="13" s="1"/>
  <c r="C187" i="13" a="1"/>
  <c r="C187" i="13" s="1"/>
  <c r="G187" i="13" s="1"/>
  <c r="C216" i="13" a="1"/>
  <c r="C216" i="13" s="1"/>
  <c r="G216" i="13" s="1"/>
  <c r="C184" i="13" a="1"/>
  <c r="C184" i="13" s="1"/>
  <c r="G184" i="13" s="1"/>
  <c r="C205" i="13" a="1"/>
  <c r="C205" i="13" s="1"/>
  <c r="G205" i="13" s="1"/>
  <c r="C186" i="13" a="1"/>
  <c r="C186" i="13" s="1"/>
  <c r="G186" i="13" s="1"/>
  <c r="C176" i="13" a="1"/>
  <c r="C176" i="13" s="1"/>
  <c r="G176" i="13" s="1"/>
  <c r="C178" i="13" a="1"/>
  <c r="C178" i="13" s="1"/>
  <c r="G178" i="13" s="1"/>
  <c r="C173" i="13" a="1"/>
  <c r="C173" i="13" s="1"/>
  <c r="G173" i="13" s="1"/>
  <c r="C175" i="13" a="1"/>
  <c r="C175" i="13" s="1"/>
  <c r="G175" i="13" s="1"/>
  <c r="C174" i="13" a="1"/>
  <c r="C174" i="13" s="1"/>
  <c r="G174" i="13" s="1"/>
  <c r="C177" i="13" a="1"/>
  <c r="C177" i="13" s="1"/>
  <c r="G177" i="13" s="1"/>
  <c r="C164" i="13" a="1"/>
  <c r="C164" i="13" s="1"/>
  <c r="G164" i="13" s="1"/>
  <c r="C162" i="13" a="1"/>
  <c r="C162" i="13" s="1"/>
  <c r="G162" i="13" s="1"/>
  <c r="C168" i="13" a="1"/>
  <c r="C168" i="13" s="1"/>
  <c r="G168" i="13" s="1"/>
  <c r="C170" i="13" a="1"/>
  <c r="C170" i="13" s="1"/>
  <c r="G170" i="13" s="1"/>
  <c r="C156" i="13" a="1"/>
  <c r="C156" i="13" s="1"/>
  <c r="G156" i="13" s="1"/>
  <c r="C160" i="13" a="1"/>
  <c r="C160" i="13" s="1"/>
  <c r="G160" i="13" s="1"/>
  <c r="C172" i="13" a="1"/>
  <c r="C172" i="13" s="1"/>
  <c r="G172" i="13" s="1"/>
  <c r="C167" i="13" a="1"/>
  <c r="C167" i="13" s="1"/>
  <c r="G167" i="13" s="1"/>
  <c r="C159" i="13" a="1"/>
  <c r="C159" i="13" s="1"/>
  <c r="G159" i="13" s="1"/>
  <c r="C166" i="13" a="1"/>
  <c r="C166" i="13" s="1"/>
  <c r="G166" i="13" s="1"/>
  <c r="C155" i="13" a="1"/>
  <c r="C155" i="13" s="1"/>
  <c r="G155" i="13" s="1"/>
  <c r="C169" i="13" a="1"/>
  <c r="C169" i="13" s="1"/>
  <c r="G169" i="13" s="1"/>
  <c r="C161" i="13" a="1"/>
  <c r="C161" i="13" s="1"/>
  <c r="G161" i="13" s="1"/>
  <c r="C157" i="13" a="1"/>
  <c r="C157" i="13" s="1"/>
  <c r="G157" i="13" s="1"/>
  <c r="C158" i="13" a="1"/>
  <c r="C158" i="13" s="1"/>
  <c r="G158" i="13" s="1"/>
  <c r="C165" i="13" a="1"/>
  <c r="C165" i="13" s="1"/>
  <c r="G165" i="13" s="1"/>
  <c r="C171" i="13" a="1"/>
  <c r="C171" i="13" s="1"/>
  <c r="G171" i="13" s="1"/>
  <c r="C163" i="13" a="1"/>
  <c r="C163" i="13" s="1"/>
  <c r="G163" i="13" s="1"/>
  <c r="C154" i="13" a="1"/>
  <c r="C154" i="13" s="1"/>
  <c r="G154" i="13" s="1"/>
  <c r="C137" i="13" a="1"/>
  <c r="C137" i="13" s="1"/>
  <c r="G137" i="13" s="1"/>
  <c r="C153" i="13" a="1"/>
  <c r="C153" i="13" s="1"/>
  <c r="G153" i="13" s="1"/>
  <c r="C152" i="13" a="1"/>
  <c r="C152" i="13" s="1"/>
  <c r="G152" i="13" s="1"/>
  <c r="C151" i="13" a="1"/>
  <c r="C151" i="13" s="1"/>
  <c r="G151" i="13" s="1"/>
  <c r="C149" i="13" a="1"/>
  <c r="C149" i="13" s="1"/>
  <c r="G149" i="13" s="1"/>
  <c r="C142" i="13" a="1"/>
  <c r="C142" i="13" s="1"/>
  <c r="G142" i="13" s="1"/>
  <c r="C147" i="13" a="1"/>
  <c r="C147" i="13" s="1"/>
  <c r="G147" i="13" s="1"/>
  <c r="C144" i="13" a="1"/>
  <c r="C144" i="13" s="1"/>
  <c r="G144" i="13" s="1"/>
  <c r="C148" i="13" a="1"/>
  <c r="C148" i="13" s="1"/>
  <c r="G148" i="13" s="1"/>
  <c r="C141" i="13" a="1"/>
  <c r="C141" i="13" s="1"/>
  <c r="G141" i="13" s="1"/>
  <c r="C146" i="13" a="1"/>
  <c r="C146" i="13" s="1"/>
  <c r="G146" i="13" s="1"/>
  <c r="C140" i="13" a="1"/>
  <c r="C140" i="13" s="1"/>
  <c r="G140" i="13" s="1"/>
  <c r="C143" i="13" a="1"/>
  <c r="C143" i="13" s="1"/>
  <c r="G143" i="13" s="1"/>
  <c r="C145" i="13" a="1"/>
  <c r="C145" i="13" s="1"/>
  <c r="G145" i="13" s="1"/>
  <c r="C139" i="13" a="1"/>
  <c r="C139" i="13" s="1"/>
  <c r="G139" i="13" s="1"/>
  <c r="C150" i="13" a="1"/>
  <c r="C150" i="13" s="1"/>
  <c r="G150" i="13" s="1"/>
  <c r="C138" i="13" a="1"/>
  <c r="C138" i="13" s="1"/>
  <c r="G138" i="13" s="1"/>
  <c r="C136" i="13" a="1"/>
  <c r="C136" i="13" s="1"/>
  <c r="G136" i="13" s="1"/>
  <c r="C117" i="13" a="1"/>
  <c r="C117" i="13" s="1"/>
  <c r="G117" i="13" s="1"/>
  <c r="C134" i="13" a="1"/>
  <c r="C134" i="13" s="1"/>
  <c r="G134" i="13" s="1"/>
  <c r="C126" i="13" a="1"/>
  <c r="C126" i="13" s="1"/>
  <c r="G126" i="13" s="1"/>
  <c r="C108" i="13" a="1"/>
  <c r="C108" i="13" s="1"/>
  <c r="G108" i="13" s="1"/>
  <c r="C100" i="13" a="1"/>
  <c r="C100" i="13" s="1"/>
  <c r="G100" i="13" s="1"/>
  <c r="C92" i="13" a="1"/>
  <c r="C92" i="13" s="1"/>
  <c r="G92" i="13" s="1"/>
  <c r="C112" i="13" a="1"/>
  <c r="C112" i="13" s="1"/>
  <c r="G112" i="13" s="1"/>
  <c r="C131" i="13" a="1"/>
  <c r="C131" i="13" s="1"/>
  <c r="G131" i="13" s="1"/>
  <c r="C122" i="13" a="1"/>
  <c r="C122" i="13" s="1"/>
  <c r="G122" i="13" s="1"/>
  <c r="C105" i="13" a="1"/>
  <c r="C105" i="13" s="1"/>
  <c r="G105" i="13" s="1"/>
  <c r="C97" i="13" a="1"/>
  <c r="C97" i="13" s="1"/>
  <c r="G97" i="13" s="1"/>
  <c r="C91" i="13" a="1"/>
  <c r="C91" i="13" s="1"/>
  <c r="G91" i="13" s="1"/>
  <c r="C101" i="13" a="1"/>
  <c r="C101" i="13" s="1"/>
  <c r="G101" i="13" s="1"/>
  <c r="C103" i="13" a="1"/>
  <c r="C103" i="13" s="1"/>
  <c r="G103" i="13" s="1"/>
  <c r="C115" i="13" a="1"/>
  <c r="C115" i="13" s="1"/>
  <c r="G115" i="13" s="1"/>
  <c r="C128" i="13" a="1"/>
  <c r="C128" i="13" s="1"/>
  <c r="G128" i="13" s="1"/>
  <c r="C119" i="13" a="1"/>
  <c r="C119" i="13" s="1"/>
  <c r="G119" i="13" s="1"/>
  <c r="C102" i="13" a="1"/>
  <c r="C102" i="13" s="1"/>
  <c r="G102" i="13" s="1"/>
  <c r="C94" i="13" a="1"/>
  <c r="C94" i="13" s="1"/>
  <c r="G94" i="13" s="1"/>
  <c r="C127" i="13" a="1"/>
  <c r="C127" i="13" s="1"/>
  <c r="G127" i="13" s="1"/>
  <c r="C109" i="13" a="1"/>
  <c r="C109" i="13" s="1"/>
  <c r="G109" i="13" s="1"/>
  <c r="C95" i="13" a="1"/>
  <c r="C95" i="13" s="1"/>
  <c r="G95" i="13" s="1"/>
  <c r="C110" i="13" a="1"/>
  <c r="C110" i="13" s="1"/>
  <c r="G110" i="13" s="1"/>
  <c r="C118" i="13" a="1"/>
  <c r="C118" i="13" s="1"/>
  <c r="G118" i="13" s="1"/>
  <c r="C133" i="13" a="1"/>
  <c r="C133" i="13" s="1"/>
  <c r="G133" i="13" s="1"/>
  <c r="C125" i="13" a="1"/>
  <c r="C125" i="13" s="1"/>
  <c r="G125" i="13" s="1"/>
  <c r="C107" i="13" a="1"/>
  <c r="C107" i="13" s="1"/>
  <c r="G107" i="13" s="1"/>
  <c r="C99" i="13" a="1"/>
  <c r="C99" i="13" s="1"/>
  <c r="G99" i="13" s="1"/>
  <c r="C93" i="13" a="1"/>
  <c r="C93" i="13" s="1"/>
  <c r="G93" i="13" s="1"/>
  <c r="C113" i="13" a="1"/>
  <c r="C113" i="13" s="1"/>
  <c r="G113" i="13" s="1"/>
  <c r="C130" i="13" a="1"/>
  <c r="C130" i="13" s="1"/>
  <c r="G130" i="13" s="1"/>
  <c r="C121" i="13" a="1"/>
  <c r="C121" i="13" s="1"/>
  <c r="G121" i="13" s="1"/>
  <c r="C104" i="13" a="1"/>
  <c r="C104" i="13" s="1"/>
  <c r="G104" i="13" s="1"/>
  <c r="C96" i="13" a="1"/>
  <c r="C96" i="13" s="1"/>
  <c r="G96" i="13" s="1"/>
  <c r="C116" i="13" a="1"/>
  <c r="C116" i="13" s="1"/>
  <c r="G116" i="13" s="1"/>
  <c r="C129" i="13" a="1"/>
  <c r="C129" i="13" s="1"/>
  <c r="G129" i="13" s="1"/>
  <c r="C111" i="13" a="1"/>
  <c r="C111" i="13" s="1"/>
  <c r="G111" i="13" s="1"/>
  <c r="C132" i="13" a="1"/>
  <c r="C132" i="13" s="1"/>
  <c r="G132" i="13" s="1"/>
  <c r="C123" i="13" a="1"/>
  <c r="C123" i="13" s="1"/>
  <c r="G123" i="13" s="1"/>
  <c r="C106" i="13" a="1"/>
  <c r="C106" i="13" s="1"/>
  <c r="G106" i="13" s="1"/>
  <c r="C98" i="13" a="1"/>
  <c r="C98" i="13" s="1"/>
  <c r="G98" i="13" s="1"/>
  <c r="C114" i="13" a="1"/>
  <c r="C114" i="13" s="1"/>
  <c r="G114" i="13" s="1"/>
  <c r="C120" i="13" a="1"/>
  <c r="C120" i="13" s="1"/>
  <c r="G120" i="13" s="1"/>
  <c r="C90" i="13" a="1"/>
  <c r="C90" i="13" s="1"/>
  <c r="G90" i="13" s="1"/>
  <c r="C88" i="13" a="1"/>
  <c r="C88" i="13" s="1"/>
  <c r="G88" i="13" s="1"/>
  <c r="C89" i="13" a="1"/>
  <c r="C89" i="13" s="1"/>
  <c r="G89" i="13" s="1"/>
  <c r="C86" i="13" a="1"/>
  <c r="C86" i="13" s="1"/>
  <c r="G86" i="13" s="1"/>
  <c r="C87" i="13" a="1"/>
  <c r="C87" i="13" s="1"/>
  <c r="G87" i="13" s="1"/>
  <c r="C83" i="13" a="1"/>
  <c r="C83" i="13" s="1"/>
  <c r="G83" i="13" s="1"/>
  <c r="C67" i="13" a="1"/>
  <c r="C67" i="13" s="1"/>
  <c r="G67" i="13" s="1"/>
  <c r="C72" i="13" a="1"/>
  <c r="C72" i="13" s="1"/>
  <c r="G72" i="13" s="1"/>
  <c r="C70" i="13" a="1"/>
  <c r="C70" i="13" s="1"/>
  <c r="G70" i="13" s="1"/>
  <c r="C80" i="13" a="1"/>
  <c r="C80" i="13" s="1"/>
  <c r="G80" i="13" s="1"/>
  <c r="C74" i="13" a="1"/>
  <c r="C74" i="13" s="1"/>
  <c r="G74" i="13" s="1"/>
  <c r="C75" i="13" a="1"/>
  <c r="C75" i="13" s="1"/>
  <c r="G75" i="13" s="1"/>
  <c r="C85" i="13" a="1"/>
  <c r="C85" i="13" s="1"/>
  <c r="G85" i="13" s="1"/>
  <c r="C77" i="13" a="1"/>
  <c r="C77" i="13" s="1"/>
  <c r="G77" i="13" s="1"/>
  <c r="C69" i="13" a="1"/>
  <c r="C69" i="13" s="1"/>
  <c r="G69" i="13" s="1"/>
  <c r="C65" i="13" a="1"/>
  <c r="C65" i="13" s="1"/>
  <c r="G65" i="13" s="1"/>
  <c r="C82" i="13" a="1"/>
  <c r="C82" i="13" s="1"/>
  <c r="G82" i="13" s="1"/>
  <c r="C66" i="13" a="1"/>
  <c r="C66" i="13" s="1"/>
  <c r="G66" i="13" s="1"/>
  <c r="C81" i="13" a="1"/>
  <c r="C81" i="13" s="1"/>
  <c r="G81" i="13" s="1"/>
  <c r="C79" i="13" a="1"/>
  <c r="C79" i="13" s="1"/>
  <c r="G79" i="13" s="1"/>
  <c r="C73" i="13" a="1"/>
  <c r="C73" i="13" s="1"/>
  <c r="G73" i="13" s="1"/>
  <c r="C71" i="13" a="1"/>
  <c r="C71" i="13" s="1"/>
  <c r="G71" i="13" s="1"/>
  <c r="C84" i="13" a="1"/>
  <c r="C84" i="13" s="1"/>
  <c r="G84" i="13" s="1"/>
  <c r="C76" i="13" a="1"/>
  <c r="C76" i="13" s="1"/>
  <c r="G76" i="13" s="1"/>
  <c r="C68" i="13" a="1"/>
  <c r="C68" i="13" s="1"/>
  <c r="G68" i="13" s="1"/>
  <c r="C78" i="13" a="1"/>
  <c r="C78" i="13" s="1"/>
  <c r="G78" i="13" s="1"/>
  <c r="C61" i="13" a="1"/>
  <c r="C61" i="13" s="1"/>
  <c r="G61" i="13" s="1"/>
  <c r="C63" i="13" a="1"/>
  <c r="C63" i="13" s="1"/>
  <c r="G63" i="13" s="1"/>
  <c r="C62" i="13" a="1"/>
  <c r="C62" i="13" s="1"/>
  <c r="G62" i="13" s="1"/>
  <c r="C64" i="13" a="1"/>
  <c r="C64" i="13" s="1"/>
  <c r="G64" i="13" s="1"/>
  <c r="C60" i="13" a="1"/>
  <c r="C60" i="13" s="1"/>
  <c r="G60" i="13" s="1"/>
  <c r="C44" i="13" a="1"/>
  <c r="C44" i="13" s="1"/>
  <c r="G44" i="13" s="1"/>
  <c r="C42" i="13" a="1"/>
  <c r="C42" i="13" s="1"/>
  <c r="G42" i="13" s="1"/>
  <c r="C58" i="13" a="1"/>
  <c r="C58" i="13" s="1"/>
  <c r="G58" i="13" s="1"/>
  <c r="C43" i="13" a="1"/>
  <c r="C43" i="13" s="1"/>
  <c r="G43" i="13" s="1"/>
  <c r="C4" i="13" a="1"/>
  <c r="C4" i="13" s="1"/>
  <c r="G4" i="13" s="1"/>
  <c r="C10" i="13" a="1"/>
  <c r="C10" i="13" s="1"/>
  <c r="G10" i="13" s="1"/>
  <c r="C17" i="13" a="1"/>
  <c r="C17" i="13" s="1"/>
  <c r="G17" i="13" s="1"/>
  <c r="C23" i="13" a="1"/>
  <c r="C23" i="13" s="1"/>
  <c r="G23" i="13" s="1"/>
  <c r="C5" i="13" a="1"/>
  <c r="C5" i="13" s="1"/>
  <c r="G5" i="13" s="1"/>
  <c r="C11" i="13" a="1"/>
  <c r="C11" i="13" s="1"/>
  <c r="G11" i="13" s="1"/>
  <c r="C12" i="13" a="1"/>
  <c r="C12" i="13" s="1"/>
  <c r="G12" i="13" s="1"/>
  <c r="C18" i="13" a="1"/>
  <c r="C18" i="13" s="1"/>
  <c r="G18" i="13" s="1"/>
  <c r="C25" i="13" a="1"/>
  <c r="C25" i="13" s="1"/>
  <c r="G25" i="13" s="1"/>
  <c r="C31" i="13" a="1"/>
  <c r="C31" i="13" s="1"/>
  <c r="G31" i="13" s="1"/>
  <c r="C47" i="13" a="1"/>
  <c r="C47" i="13" s="1"/>
  <c r="G47" i="13" s="1"/>
  <c r="C53" i="13" a="1"/>
  <c r="C53" i="13" s="1"/>
  <c r="G53" i="13" s="1"/>
  <c r="C6" i="13" a="1"/>
  <c r="C6" i="13" s="1"/>
  <c r="G6" i="13" s="1"/>
  <c r="C13" i="13" a="1"/>
  <c r="C13" i="13" s="1"/>
  <c r="G13" i="13" s="1"/>
  <c r="C19" i="13" a="1"/>
  <c r="C19" i="13" s="1"/>
  <c r="G19" i="13" s="1"/>
  <c r="C7" i="13" a="1"/>
  <c r="C7" i="13" s="1"/>
  <c r="G7" i="13" s="1"/>
  <c r="C20" i="13" a="1"/>
  <c r="C20" i="13" s="1"/>
  <c r="G20" i="13" s="1"/>
  <c r="C26" i="13" a="1"/>
  <c r="C26" i="13" s="1"/>
  <c r="G26" i="13" s="1"/>
  <c r="C33" i="13" a="1"/>
  <c r="C33" i="13" s="1"/>
  <c r="G33" i="13" s="1"/>
  <c r="C39" i="13" a="1"/>
  <c r="C39" i="13" s="1"/>
  <c r="G39" i="13" s="1"/>
  <c r="C55" i="13" a="1"/>
  <c r="C55" i="13" s="1"/>
  <c r="G55" i="13" s="1"/>
  <c r="C8" i="13" a="1"/>
  <c r="C8" i="13" s="1"/>
  <c r="G8" i="13" s="1"/>
  <c r="C14" i="13" a="1"/>
  <c r="C14" i="13" s="1"/>
  <c r="G14" i="13" s="1"/>
  <c r="C21" i="13" a="1"/>
  <c r="C21" i="13" s="1"/>
  <c r="G21" i="13" s="1"/>
  <c r="C27" i="13" a="1"/>
  <c r="C27" i="13" s="1"/>
  <c r="G27" i="13" s="1"/>
  <c r="C40" i="13" a="1"/>
  <c r="C40" i="13" s="1"/>
  <c r="G40" i="13" s="1"/>
  <c r="C49" i="13" a="1"/>
  <c r="C49" i="13" s="1"/>
  <c r="G49" i="13" s="1"/>
  <c r="C56" i="13" a="1"/>
  <c r="C56" i="13" s="1"/>
  <c r="G56" i="13" s="1"/>
  <c r="C24" i="13" a="1"/>
  <c r="C24" i="13" s="1"/>
  <c r="G24" i="13" s="1"/>
  <c r="C30" i="13" a="1"/>
  <c r="C30" i="13" s="1"/>
  <c r="G30" i="13" s="1"/>
  <c r="C37" i="13" a="1"/>
  <c r="C37" i="13" s="1"/>
  <c r="G37" i="13" s="1"/>
  <c r="C46" i="13" a="1"/>
  <c r="C46" i="13" s="1"/>
  <c r="G46" i="13" s="1"/>
  <c r="C32" i="13" a="1"/>
  <c r="C32" i="13" s="1"/>
  <c r="G32" i="13" s="1"/>
  <c r="C38" i="13" a="1"/>
  <c r="C38" i="13" s="1"/>
  <c r="G38" i="13" s="1"/>
  <c r="C48" i="13" a="1"/>
  <c r="C48" i="13" s="1"/>
  <c r="G48" i="13" s="1"/>
  <c r="C54" i="13" a="1"/>
  <c r="C54" i="13" s="1"/>
  <c r="G54" i="13" s="1"/>
  <c r="C2" i="13" a="1"/>
  <c r="C2" i="13" s="1"/>
  <c r="G2" i="13" s="1"/>
  <c r="C9" i="13" a="1"/>
  <c r="C9" i="13" s="1"/>
  <c r="G9" i="13" s="1"/>
  <c r="C15" i="13" a="1"/>
  <c r="C15" i="13" s="1"/>
  <c r="G15" i="13" s="1"/>
  <c r="C28" i="13" a="1"/>
  <c r="C28" i="13" s="1"/>
  <c r="G28" i="13" s="1"/>
  <c r="C34" i="13" a="1"/>
  <c r="C34" i="13" s="1"/>
  <c r="G34" i="13" s="1"/>
  <c r="C41" i="13" a="1"/>
  <c r="C41" i="13" s="1"/>
  <c r="G41" i="13" s="1"/>
  <c r="C50" i="13" a="1"/>
  <c r="C50" i="13" s="1"/>
  <c r="G50" i="13" s="1"/>
  <c r="C57" i="13" a="1"/>
  <c r="C57" i="13" s="1"/>
  <c r="G57" i="13" s="1"/>
  <c r="C16" i="13" a="1"/>
  <c r="C16" i="13" s="1"/>
  <c r="G16" i="13" s="1"/>
  <c r="C22" i="13" a="1"/>
  <c r="C22" i="13" s="1"/>
  <c r="G22" i="13" s="1"/>
  <c r="C29" i="13" a="1"/>
  <c r="C29" i="13" s="1"/>
  <c r="G29" i="13" s="1"/>
  <c r="C35" i="13" a="1"/>
  <c r="C35" i="13" s="1"/>
  <c r="G35" i="13" s="1"/>
  <c r="C51" i="13" a="1"/>
  <c r="C51" i="13" s="1"/>
  <c r="G51" i="13" s="1"/>
  <c r="C59" i="13" a="1"/>
  <c r="C59" i="13" s="1"/>
  <c r="G59" i="13" s="1"/>
  <c r="C36" i="13" a="1"/>
  <c r="C36" i="13" s="1"/>
  <c r="G36" i="13" s="1"/>
  <c r="C45" i="13" a="1"/>
  <c r="C45" i="13" s="1"/>
  <c r="G45" i="13" s="1"/>
  <c r="C52" i="13" a="1"/>
  <c r="C52" i="13" s="1"/>
  <c r="G52" i="13" s="1"/>
  <c r="C3" i="13" a="1"/>
  <c r="C3" i="13" s="1"/>
  <c r="G3" i="13" s="1"/>
  <c r="F14" i="8" a="1"/>
  <c r="F14" i="8" s="1"/>
  <c r="U27" i="4"/>
  <c r="V27" i="4"/>
  <c r="W27" i="4"/>
  <c r="T27" i="4"/>
  <c r="W26" i="4"/>
  <c r="V26" i="4"/>
  <c r="V21" i="4"/>
  <c r="U21" i="4"/>
  <c r="T21" i="4"/>
  <c r="W21" i="4"/>
  <c r="T22" i="4"/>
  <c r="U22" i="4"/>
  <c r="F2" i="8" a="1"/>
  <c r="F2" i="8" s="1"/>
  <c r="I14" i="8" a="1"/>
  <c r="I14" i="8" s="1"/>
  <c r="G14" i="8" a="1"/>
  <c r="G14" i="8" s="1"/>
  <c r="H14" i="8" a="1"/>
  <c r="H14" i="8" s="1"/>
  <c r="F156" i="13" a="1"/>
  <c r="F285" i="13" a="1"/>
  <c r="F348" i="13" a="1"/>
  <c r="F161" i="13" a="1"/>
  <c r="F338" i="13" a="1"/>
  <c r="F275" i="13" a="1"/>
  <c r="F30" i="13" a="1"/>
  <c r="F131" i="13" a="1"/>
  <c r="F57" i="13" a="1"/>
  <c r="F113" i="13" a="1"/>
  <c r="F206" i="13" a="1"/>
  <c r="F283" i="13" a="1"/>
  <c r="F99" i="13" a="1"/>
  <c r="F393" i="13" a="1"/>
  <c r="F384" i="13" a="1"/>
  <c r="F178" i="13" a="1"/>
  <c r="F293" i="13" a="1"/>
  <c r="F371" i="13" a="1"/>
  <c r="F260" i="13" a="1"/>
  <c r="F229" i="13" a="1"/>
  <c r="F239" i="13" a="1"/>
  <c r="F213" i="13" a="1"/>
  <c r="F337" i="13" a="1"/>
  <c r="F170" i="13" a="1"/>
  <c r="F13" i="13" a="1"/>
  <c r="F40" i="13" a="1"/>
  <c r="F321" i="13" a="1"/>
  <c r="F101" i="13" a="1"/>
  <c r="F290" i="13" a="1"/>
  <c r="F118" i="13" a="1"/>
  <c r="F180" i="13" a="1"/>
  <c r="F185" i="13" a="1"/>
  <c r="F366" i="13" a="1"/>
  <c r="F164" i="13" a="1"/>
  <c r="F104" i="13" a="1"/>
  <c r="F387" i="13" a="1"/>
  <c r="F320" i="13" a="1"/>
  <c r="F71" i="13" a="1"/>
  <c r="F142" i="13" a="1"/>
  <c r="F19" i="13" a="1"/>
  <c r="F363" i="13" a="1"/>
  <c r="F158" i="13" a="1"/>
  <c r="F266" i="13" a="1"/>
  <c r="F141" i="13" a="1"/>
  <c r="F50" i="13" a="1"/>
  <c r="F265" i="13" a="1"/>
  <c r="F121" i="13" a="1"/>
  <c r="F362" i="13" a="1"/>
  <c r="F231" i="13" a="1"/>
  <c r="F233" i="13" a="1"/>
  <c r="F298" i="13" a="1"/>
  <c r="F167" i="13" a="1"/>
  <c r="F172" i="13" a="1"/>
  <c r="F36" i="13" a="1"/>
  <c r="F315" i="13" a="1"/>
  <c r="F287" i="13" a="1"/>
  <c r="F273" i="13" a="1"/>
  <c r="F212" i="13" a="1"/>
  <c r="F179" i="13" a="1"/>
  <c r="F61" i="13" a="1"/>
  <c r="F244" i="13" a="1"/>
  <c r="F14" i="13" a="1"/>
  <c r="F60" i="13" a="1"/>
  <c r="F192" i="13" a="1"/>
  <c r="F106" i="13" a="1"/>
  <c r="F215" i="13" a="1"/>
  <c r="F209" i="13" a="1"/>
  <c r="F271" i="13" a="1"/>
  <c r="F388" i="13" a="1"/>
  <c r="F307" i="13" a="1"/>
  <c r="F97" i="13" a="1"/>
  <c r="F124" i="13" a="1"/>
  <c r="F150" i="13" a="1"/>
  <c r="F377" i="13" a="1"/>
  <c r="F17" i="13" a="1"/>
  <c r="F385" i="13" a="1"/>
  <c r="F25" i="13" a="1"/>
  <c r="F76" i="13" a="1"/>
  <c r="F343" i="13" a="1"/>
  <c r="F21" i="13" a="1"/>
  <c r="F322" i="13" a="1"/>
  <c r="F129" i="13" a="1"/>
  <c r="F281" i="13" a="1"/>
  <c r="F316" i="13" a="1"/>
  <c r="F196" i="13" a="1"/>
  <c r="F143" i="13" a="1"/>
  <c r="F258" i="13" a="1"/>
  <c r="F122" i="13" a="1"/>
  <c r="F81" i="13" a="1"/>
  <c r="F189" i="13" a="1"/>
  <c r="F270" i="13" a="1"/>
  <c r="F342" i="13" a="1"/>
  <c r="F222" i="13" a="1"/>
  <c r="F188" i="13" a="1"/>
  <c r="F308" i="13" a="1"/>
  <c r="F331" i="13" a="1"/>
  <c r="F181" i="13" a="1"/>
  <c r="F200" i="13" a="1"/>
  <c r="F116" i="13" a="1"/>
  <c r="F389" i="13" a="1"/>
  <c r="F352" i="13" a="1"/>
  <c r="F373" i="13" a="1"/>
  <c r="F176" i="13" a="1"/>
  <c r="F395" i="13" a="1"/>
  <c r="F135" i="13" a="1"/>
  <c r="F117" i="13" a="1"/>
  <c r="F112" i="13" a="1"/>
  <c r="F107" i="13" a="1"/>
  <c r="F85" i="13" a="1"/>
  <c r="F332" i="13" a="1"/>
  <c r="F306" i="13" a="1"/>
  <c r="F249" i="13" a="1"/>
  <c r="F182" i="13" a="1"/>
  <c r="F123" i="13" a="1"/>
  <c r="F357" i="13" a="1"/>
  <c r="F5" i="13" a="1"/>
  <c r="F186" i="13" a="1"/>
  <c r="F110" i="13" a="1"/>
  <c r="F109" i="13" a="1"/>
  <c r="F74" i="13" a="1"/>
  <c r="F208" i="13" a="1"/>
  <c r="F27" i="13" a="1"/>
  <c r="F184" i="13" a="1"/>
  <c r="F329" i="13" a="1"/>
  <c r="F359" i="13" a="1"/>
  <c r="F382" i="13" a="1"/>
  <c r="F228" i="13" a="1"/>
  <c r="F160" i="13" a="1"/>
  <c r="F344" i="13" a="1"/>
  <c r="F130" i="13" a="1"/>
  <c r="F339" i="13" a="1"/>
  <c r="F218" i="13" a="1"/>
  <c r="F72" i="13" a="1"/>
  <c r="F313" i="13" a="1"/>
  <c r="F80" i="13" a="1"/>
  <c r="F230" i="13" a="1"/>
  <c r="F105" i="13" a="1"/>
  <c r="F52" i="13" a="1"/>
  <c r="F246" i="13" a="1"/>
  <c r="F294" i="13" a="1"/>
  <c r="F301" i="13" a="1"/>
  <c r="F396" i="13" a="1"/>
  <c r="F152" i="13" a="1"/>
  <c r="F216" i="13" a="1"/>
  <c r="F53" i="13" a="1"/>
  <c r="F356" i="13" a="1"/>
  <c r="F398" i="13" a="1"/>
  <c r="F139" i="13" a="1"/>
  <c r="F173" i="13" a="1"/>
  <c r="F146" i="13" a="1"/>
  <c r="F140" i="13" a="1"/>
  <c r="F305" i="13" a="1"/>
  <c r="F346" i="13" a="1"/>
  <c r="F177" i="13" a="1"/>
  <c r="F351" i="13" a="1"/>
  <c r="F279" i="13" a="1"/>
  <c r="F96" i="13" a="1"/>
  <c r="F151" i="13" a="1"/>
  <c r="F227" i="13" a="1"/>
  <c r="F195" i="13" a="1"/>
  <c r="F353" i="13" a="1"/>
  <c r="F236" i="13" a="1"/>
  <c r="F224" i="13" a="1"/>
  <c r="F272" i="13" a="1"/>
  <c r="F162" i="13" a="1"/>
  <c r="F90" i="13" a="1"/>
  <c r="F204" i="13" a="1"/>
  <c r="F94" i="13" a="1"/>
  <c r="F44" i="13" a="1"/>
  <c r="F267" i="13" a="1"/>
  <c r="F242" i="13" a="1"/>
  <c r="F78" i="13" a="1"/>
  <c r="F82" i="13" a="1"/>
  <c r="F75" i="13" a="1"/>
  <c r="F89" i="13" a="1"/>
  <c r="F328" i="13" a="1"/>
  <c r="F6" i="13" a="1"/>
  <c r="F297" i="13" a="1"/>
  <c r="F15" i="13" a="1"/>
  <c r="F29" i="13" a="1"/>
  <c r="F31" i="13" a="1"/>
  <c r="F240" i="13" a="1"/>
  <c r="F11" i="13" a="1"/>
  <c r="F237" i="13" a="1"/>
  <c r="F202" i="13" a="1"/>
  <c r="F138" i="13" a="1"/>
  <c r="F77" i="13" a="1"/>
  <c r="F32" i="13" a="1"/>
  <c r="F226" i="13" a="1"/>
  <c r="F111" i="13" a="1"/>
  <c r="F120" i="13" a="1"/>
  <c r="F354" i="13" a="1"/>
  <c r="F34" i="13" a="1"/>
  <c r="F63" i="13" a="1"/>
  <c r="F171" i="13" a="1"/>
  <c r="F79" i="13" a="1"/>
  <c r="F193" i="13" a="1"/>
  <c r="F51" i="13" a="1"/>
  <c r="F370" i="13" a="1"/>
  <c r="F262" i="13" a="1"/>
  <c r="F163" i="13" a="1"/>
  <c r="F255" i="13" a="1"/>
  <c r="F350" i="13" a="1"/>
  <c r="F269" i="13" a="1"/>
  <c r="F302" i="13" a="1"/>
  <c r="F368" i="13" a="1"/>
  <c r="F103" i="13" a="1"/>
  <c r="F336" i="13" a="1"/>
  <c r="F257" i="13" a="1"/>
  <c r="F349" i="13" a="1"/>
  <c r="F309" i="13" a="1"/>
  <c r="F69" i="13" a="1"/>
  <c r="F292" i="13" a="1"/>
  <c r="F100" i="13" a="1"/>
  <c r="F263" i="13" a="1"/>
  <c r="F183" i="13" a="1"/>
  <c r="F303" i="13" a="1"/>
  <c r="F55" i="13" a="1"/>
  <c r="F243" i="13" a="1"/>
  <c r="F280" i="13" a="1"/>
  <c r="F334" i="13" a="1"/>
  <c r="F153" i="13" a="1"/>
  <c r="F126" i="13" a="1"/>
  <c r="F26" i="13" a="1"/>
  <c r="F345" i="13" a="1"/>
  <c r="F221" i="13" a="1"/>
  <c r="F341" i="13" a="1"/>
  <c r="F133" i="13" a="1"/>
  <c r="F282" i="13" a="1"/>
  <c r="F8" i="13" a="1"/>
  <c r="F134" i="13" a="1"/>
  <c r="F56" i="13" a="1"/>
  <c r="F62" i="13" a="1"/>
  <c r="F259" i="13" a="1"/>
  <c r="F35" i="13" a="1"/>
  <c r="F190" i="13" a="1"/>
  <c r="F277" i="13" a="1"/>
  <c r="F235" i="13" a="1"/>
  <c r="F261" i="13" a="1"/>
  <c r="F300" i="13" a="1"/>
  <c r="F70" i="13" a="1"/>
  <c r="F108" i="13" a="1"/>
  <c r="F330" i="13" a="1"/>
  <c r="F49" i="13" a="1"/>
  <c r="F232" i="13" a="1"/>
  <c r="F199" i="13" a="1"/>
  <c r="F155" i="13" a="1"/>
  <c r="F18" i="13" a="1"/>
  <c r="F383" i="13" a="1"/>
  <c r="F324" i="13" a="1"/>
  <c r="F66" i="13" a="1"/>
  <c r="F2" i="13" a="1"/>
  <c r="F380" i="13" a="1"/>
  <c r="F127" i="13" a="1"/>
  <c r="F64" i="13" a="1"/>
  <c r="F367" i="13" a="1"/>
  <c r="F291" i="13" a="1"/>
  <c r="F335" i="13" a="1"/>
  <c r="F234" i="13" a="1"/>
  <c r="F254" i="13" a="1"/>
  <c r="F154" i="13" a="1"/>
  <c r="F22" i="13" a="1"/>
  <c r="F48" i="13" a="1"/>
  <c r="F45" i="13" a="1"/>
  <c r="F340" i="13" a="1"/>
  <c r="F268" i="13" a="1"/>
  <c r="F37" i="13" a="1"/>
  <c r="F92" i="13" a="1"/>
  <c r="F365" i="13" a="1"/>
  <c r="F144" i="13" a="1"/>
  <c r="F46" i="13" a="1"/>
  <c r="F147" i="13" a="1"/>
  <c r="F319" i="13" a="1"/>
  <c r="F197" i="13" a="1"/>
  <c r="F73" i="13" a="1"/>
  <c r="F39" i="13" a="1"/>
  <c r="F68" i="13" a="1"/>
  <c r="F12" i="13" a="1"/>
  <c r="F397" i="13" a="1"/>
  <c r="F347" i="13" a="1"/>
  <c r="F191" i="13" a="1"/>
  <c r="F20" i="13" a="1"/>
  <c r="F210" i="13" a="1"/>
  <c r="F65" i="13" a="1"/>
  <c r="F38" i="13" a="1"/>
  <c r="F91" i="13" a="1"/>
  <c r="F205" i="13" a="1"/>
  <c r="F47" i="13" a="1"/>
  <c r="F361" i="13" a="1"/>
  <c r="F3" i="13" a="1"/>
  <c r="F251" i="13" a="1"/>
  <c r="F148" i="13" a="1"/>
  <c r="F314" i="13" a="1"/>
  <c r="F288" i="13" a="1"/>
  <c r="F376" i="13" a="1"/>
  <c r="F174" i="13" a="1"/>
  <c r="F241" i="13" a="1"/>
  <c r="F394" i="13" a="1"/>
  <c r="F119" i="13" a="1"/>
  <c r="F318" i="13" a="1"/>
  <c r="F86" i="13" a="1"/>
  <c r="F9" i="13" a="1"/>
  <c r="F207" i="13" a="1"/>
  <c r="F157" i="13" a="1"/>
  <c r="F88" i="13" a="1"/>
  <c r="F58" i="13" a="1"/>
  <c r="F166" i="13" a="1"/>
  <c r="F136" i="13" a="1"/>
  <c r="F194" i="13" a="1"/>
  <c r="F364" i="13" a="1"/>
  <c r="F219" i="13" a="1"/>
  <c r="F165" i="13" a="1"/>
  <c r="F115" i="13" a="1"/>
  <c r="F33" i="13" a="1"/>
  <c r="F326" i="13" a="1"/>
  <c r="F264" i="13" a="1"/>
  <c r="F250" i="13" a="1"/>
  <c r="F311" i="13" a="1"/>
  <c r="F248" i="13" a="1"/>
  <c r="F125" i="13" a="1"/>
  <c r="F95" i="13" a="1"/>
  <c r="F137" i="13" a="1"/>
  <c r="F374" i="13" a="1"/>
  <c r="F247" i="13" a="1"/>
  <c r="F225" i="13" a="1"/>
  <c r="F42" i="13" a="1"/>
  <c r="F223" i="13" a="1"/>
  <c r="F238" i="13" a="1"/>
  <c r="F358" i="13" a="1"/>
  <c r="F379" i="13" a="1"/>
  <c r="F304" i="13" a="1"/>
  <c r="F211" i="13" a="1"/>
  <c r="F7" i="13" a="1"/>
  <c r="F102" i="13" a="1"/>
  <c r="F159" i="13" a="1"/>
  <c r="F391" i="13" a="1"/>
  <c r="F4" i="13" a="1"/>
  <c r="F317" i="13" a="1"/>
  <c r="F43" i="13" a="1"/>
  <c r="F93" i="13" a="1"/>
  <c r="F24" i="13" a="1"/>
  <c r="F128" i="13" a="1"/>
  <c r="F295" i="13" a="1"/>
  <c r="F333" i="13" a="1"/>
  <c r="F252" i="13" a="1"/>
  <c r="F59" i="13" a="1"/>
  <c r="F175" i="13" a="1"/>
  <c r="F214" i="13" a="1"/>
  <c r="F276" i="13" a="1"/>
  <c r="F369" i="13" a="1"/>
  <c r="F245" i="13" a="1"/>
  <c r="F201" i="13" a="1"/>
  <c r="F325" i="13" a="1"/>
  <c r="F286" i="13" a="1"/>
  <c r="F274" i="13" a="1"/>
  <c r="F23" i="13" a="1"/>
  <c r="F149" i="13" a="1"/>
  <c r="F360" i="13" a="1"/>
  <c r="F87" i="13" a="1"/>
  <c r="F10" i="13" a="1"/>
  <c r="F310" i="13" a="1"/>
  <c r="F323" i="13" a="1"/>
  <c r="F256" i="13" a="1"/>
  <c r="F41" i="13" a="1"/>
  <c r="F375" i="13" a="1"/>
  <c r="F372" i="13" a="1"/>
  <c r="F355" i="13" a="1"/>
  <c r="F169" i="13" a="1"/>
  <c r="F132" i="13" a="1"/>
  <c r="F253" i="13" a="1"/>
  <c r="F83" i="13" a="1"/>
  <c r="F28" i="13" a="1"/>
  <c r="F67" i="13" a="1"/>
  <c r="F217" i="13" a="1"/>
  <c r="F327" i="13" a="1"/>
  <c r="F296" i="13" a="1"/>
  <c r="F392" i="13" a="1"/>
  <c r="F390" i="13" a="1"/>
  <c r="F16" i="13" a="1"/>
  <c r="F187" i="13" a="1"/>
  <c r="F168" i="13" a="1"/>
  <c r="F312" i="13" a="1"/>
  <c r="F203" i="13" a="1"/>
  <c r="F84" i="13" a="1"/>
  <c r="F145" i="13" a="1"/>
  <c r="F198" i="13" a="1"/>
  <c r="F114" i="13" a="1"/>
  <c r="F381" i="13" a="1"/>
  <c r="F284" i="13" a="1"/>
  <c r="F378" i="13" a="1"/>
  <c r="F278" i="13" a="1"/>
  <c r="F54" i="13" a="1"/>
  <c r="F299" i="13" a="1"/>
  <c r="F289" i="13" a="1"/>
  <c r="F386" i="13" a="1"/>
  <c r="F98" i="13" a="1"/>
  <c r="F384" i="13" l="1"/>
  <c r="F83" i="13"/>
  <c r="F251" i="13"/>
  <c r="F119" i="13"/>
  <c r="F189" i="13"/>
  <c r="F138" i="13"/>
  <c r="F192" i="13"/>
  <c r="F8" i="8" a="1"/>
  <c r="F8" i="8" s="1"/>
  <c r="G10" i="8" a="1"/>
  <c r="G10" i="8" s="1"/>
  <c r="G8" i="8" a="1"/>
  <c r="G8" i="8" s="1"/>
  <c r="H8" i="8" a="1"/>
  <c r="H8" i="8" s="1"/>
  <c r="H9" i="8" a="1"/>
  <c r="H9" i="8" s="1"/>
  <c r="I8" i="8" a="1"/>
  <c r="I8" i="8" s="1"/>
  <c r="H10" i="8" a="1"/>
  <c r="H10" i="8" s="1"/>
  <c r="I9" i="8" a="1"/>
  <c r="I9" i="8" s="1"/>
  <c r="G9" i="8" a="1"/>
  <c r="G9" i="8" s="1"/>
  <c r="F10" i="8" a="1"/>
  <c r="F10" i="8" s="1"/>
  <c r="F9" i="8" a="1"/>
  <c r="F9" i="8" s="1"/>
  <c r="I10" i="8" a="1"/>
  <c r="I10" i="8" s="1"/>
  <c r="F94" i="13"/>
  <c r="F64" i="13"/>
  <c r="F155" i="13"/>
  <c r="F78" i="13"/>
  <c r="F186" i="13"/>
  <c r="F150" i="13"/>
  <c r="F351" i="13"/>
  <c r="F77" i="13"/>
  <c r="F213" i="13"/>
  <c r="F208" i="13"/>
  <c r="F225" i="13"/>
  <c r="F72" i="13"/>
  <c r="F242" i="13"/>
  <c r="F143" i="13"/>
  <c r="F376" i="13"/>
  <c r="F356" i="13"/>
  <c r="F109" i="13"/>
  <c r="F211" i="13"/>
  <c r="F310" i="13"/>
  <c r="F183" i="13"/>
  <c r="F243" i="13"/>
  <c r="F41" i="13"/>
  <c r="F278" i="13"/>
  <c r="F81" i="13"/>
  <c r="F73" i="13"/>
  <c r="F204" i="13"/>
  <c r="F149" i="13"/>
  <c r="F98" i="13"/>
  <c r="F293" i="13"/>
  <c r="F110" i="13"/>
  <c r="F250" i="13"/>
  <c r="F363" i="13"/>
  <c r="F105" i="13"/>
  <c r="F152" i="13"/>
  <c r="F199" i="13"/>
  <c r="F374" i="13"/>
  <c r="F306" i="13"/>
  <c r="F134" i="13"/>
  <c r="F197" i="13"/>
  <c r="F88" i="13"/>
  <c r="F382" i="13"/>
  <c r="F347" i="13"/>
  <c r="F145" i="13"/>
  <c r="F339" i="13"/>
  <c r="F202" i="13"/>
  <c r="F218" i="13"/>
  <c r="F93" i="13"/>
  <c r="F335" i="13"/>
  <c r="F371" i="13"/>
  <c r="F288" i="13"/>
  <c r="F216" i="13"/>
  <c r="F190" i="13"/>
  <c r="F209" i="13"/>
  <c r="F221" i="13"/>
  <c r="F274" i="13"/>
  <c r="F196" i="13"/>
  <c r="F175" i="13"/>
  <c r="F229" i="13"/>
  <c r="F125" i="13"/>
  <c r="F273" i="13"/>
  <c r="F206" i="13"/>
  <c r="F313" i="13"/>
  <c r="F248" i="13"/>
  <c r="F195" i="13"/>
  <c r="F160" i="13"/>
  <c r="F230" i="13"/>
  <c r="F70" i="13"/>
  <c r="F137" i="13"/>
  <c r="F193" i="13"/>
  <c r="F284" i="13"/>
  <c r="F132" i="13"/>
  <c r="F168" i="13"/>
  <c r="F344" i="13"/>
  <c r="F86" i="13"/>
  <c r="F148" i="13"/>
  <c r="F349" i="13"/>
  <c r="F104" i="13"/>
  <c r="F169" i="13"/>
  <c r="F314" i="13"/>
  <c r="F182" i="13"/>
  <c r="F174" i="13"/>
  <c r="F222" i="13"/>
  <c r="F102" i="13"/>
  <c r="F156" i="13"/>
  <c r="F173" i="13"/>
  <c r="F323" i="13"/>
  <c r="F275" i="13"/>
  <c r="F96" i="13"/>
  <c r="F34" i="13"/>
  <c r="F122" i="13"/>
  <c r="F74" i="13"/>
  <c r="F106" i="13"/>
  <c r="F61" i="13"/>
  <c r="F114" i="13"/>
  <c r="F80" i="13"/>
  <c r="F141" i="13"/>
  <c r="F129" i="13"/>
  <c r="F158" i="13"/>
  <c r="F144" i="13"/>
  <c r="F75" i="13"/>
  <c r="F95" i="13"/>
  <c r="F113" i="13"/>
  <c r="F111" i="13"/>
  <c r="F107" i="13"/>
  <c r="F76" i="13"/>
  <c r="F301" i="13"/>
  <c r="F309" i="13"/>
  <c r="F140" i="13"/>
  <c r="F133" i="13"/>
  <c r="F127" i="13"/>
  <c r="F261" i="13"/>
  <c r="F361" i="13"/>
  <c r="F373" i="13"/>
  <c r="F267" i="13"/>
  <c r="F97" i="13"/>
  <c r="F151" i="13"/>
  <c r="F277" i="13"/>
  <c r="F233" i="13"/>
  <c r="F79" i="13"/>
  <c r="F187" i="13"/>
  <c r="F66" i="13"/>
  <c r="F177" i="13"/>
  <c r="F131" i="13"/>
  <c r="F87" i="13"/>
  <c r="F85" i="13"/>
  <c r="F214" i="13"/>
  <c r="F300" i="13"/>
  <c r="F235" i="13"/>
  <c r="F118" i="13"/>
  <c r="F266" i="13"/>
  <c r="F205" i="13"/>
  <c r="F161" i="13"/>
  <c r="F128" i="13"/>
  <c r="F91" i="13"/>
  <c r="F163" i="13"/>
  <c r="F231" i="13"/>
  <c r="F336" i="13"/>
  <c r="F228" i="13"/>
  <c r="F203" i="13"/>
  <c r="F67" i="13"/>
  <c r="F126" i="13"/>
  <c r="F217" i="13"/>
  <c r="F210" i="13"/>
  <c r="F255" i="13"/>
  <c r="F69" i="13"/>
  <c r="F171" i="13"/>
  <c r="F258" i="13"/>
  <c r="F63" i="13"/>
  <c r="F62" i="13"/>
  <c r="F165" i="13"/>
  <c r="F185" i="13"/>
  <c r="F355" i="13"/>
  <c r="F200" i="13"/>
  <c r="F166" i="13"/>
  <c r="F180" i="13"/>
  <c r="F219" i="13"/>
  <c r="F259" i="13"/>
  <c r="F121" i="13"/>
  <c r="F365" i="13"/>
  <c r="F322" i="13"/>
  <c r="F103" i="13"/>
  <c r="F223" i="13"/>
  <c r="F326" i="13"/>
  <c r="F164" i="13"/>
  <c r="F100" i="13"/>
  <c r="F212" i="13"/>
  <c r="F240" i="13"/>
  <c r="F170" i="13"/>
  <c r="F101" i="13"/>
  <c r="F178" i="13"/>
  <c r="F191" i="13"/>
  <c r="F157" i="13"/>
  <c r="F179" i="13"/>
  <c r="F388" i="13"/>
  <c r="F297" i="13"/>
  <c r="F116" i="13"/>
  <c r="F142" i="13"/>
  <c r="F68" i="13"/>
  <c r="F92" i="13"/>
  <c r="F115" i="13"/>
  <c r="F154" i="13"/>
  <c r="F99" i="13"/>
  <c r="F254" i="13"/>
  <c r="F159" i="13"/>
  <c r="F194" i="13"/>
  <c r="F201" i="13"/>
  <c r="F147" i="13"/>
  <c r="F65" i="13"/>
  <c r="F117" i="13"/>
  <c r="F82" i="13"/>
  <c r="F108" i="13"/>
  <c r="F47" i="13"/>
  <c r="F136" i="13"/>
  <c r="F181" i="13"/>
  <c r="F120" i="13"/>
  <c r="F256" i="13"/>
  <c r="F123" i="13"/>
  <c r="F153" i="13"/>
  <c r="F345" i="13"/>
  <c r="F130" i="13"/>
  <c r="F167" i="13"/>
  <c r="F71" i="13"/>
  <c r="F90" i="13"/>
  <c r="F84" i="13"/>
  <c r="F112" i="13"/>
  <c r="F89" i="13"/>
  <c r="F234" i="13"/>
  <c r="F393" i="13"/>
  <c r="F364" i="13"/>
  <c r="F257" i="13"/>
  <c r="F176" i="13"/>
  <c r="F283" i="13"/>
  <c r="F379" i="13"/>
  <c r="F333" i="13"/>
  <c r="F244" i="13"/>
  <c r="F286" i="13"/>
  <c r="F369" i="13"/>
  <c r="F359" i="13"/>
  <c r="F320" i="13"/>
  <c r="F281" i="13"/>
  <c r="F289" i="13"/>
  <c r="F366" i="13"/>
  <c r="F389" i="13"/>
  <c r="F375" i="13"/>
  <c r="F224" i="13"/>
  <c r="F162" i="13"/>
  <c r="F394" i="13"/>
  <c r="F296" i="13"/>
  <c r="F316" i="13"/>
  <c r="F354" i="13"/>
  <c r="F252" i="13"/>
  <c r="F299" i="13"/>
  <c r="F264" i="13"/>
  <c r="F226" i="13"/>
  <c r="F290" i="13"/>
  <c r="F272" i="13"/>
  <c r="F302" i="13"/>
  <c r="F367" i="13"/>
  <c r="F383" i="13"/>
  <c r="F279" i="13"/>
  <c r="F232" i="13"/>
  <c r="F172" i="13"/>
  <c r="F390" i="13"/>
  <c r="F317" i="13"/>
  <c r="F319" i="13"/>
  <c r="F372" i="13"/>
  <c r="F260" i="13"/>
  <c r="F312" i="13"/>
  <c r="F282" i="13"/>
  <c r="F398" i="13"/>
  <c r="F346" i="13"/>
  <c r="F357" i="13"/>
  <c r="F315" i="13"/>
  <c r="F262" i="13"/>
  <c r="F292" i="13"/>
  <c r="F270" i="13"/>
  <c r="F184" i="13"/>
  <c r="F139" i="13"/>
  <c r="F395" i="13"/>
  <c r="F341" i="13"/>
  <c r="F291" i="13"/>
  <c r="F370" i="13"/>
  <c r="F227" i="13"/>
  <c r="F303" i="13"/>
  <c r="F276" i="13"/>
  <c r="F386" i="13"/>
  <c r="F329" i="13"/>
  <c r="F238" i="13"/>
  <c r="F285" i="13"/>
  <c r="F280" i="13"/>
  <c r="F305" i="13"/>
  <c r="F271" i="13"/>
  <c r="F188" i="13"/>
  <c r="F146" i="13"/>
  <c r="F391" i="13"/>
  <c r="F343" i="13"/>
  <c r="F304" i="13"/>
  <c r="F265" i="13"/>
  <c r="F397" i="13"/>
  <c r="F338" i="13"/>
  <c r="F358" i="13"/>
  <c r="F377" i="13"/>
  <c r="F332" i="13"/>
  <c r="F246" i="13"/>
  <c r="F298" i="13"/>
  <c r="F268" i="13"/>
  <c r="F318" i="13"/>
  <c r="F362" i="13"/>
  <c r="F198" i="13"/>
  <c r="F124" i="13"/>
  <c r="F380" i="13"/>
  <c r="F334" i="13"/>
  <c r="F325" i="13"/>
  <c r="F269" i="13"/>
  <c r="F385" i="13"/>
  <c r="F330" i="13"/>
  <c r="F237" i="13"/>
  <c r="F311" i="13"/>
  <c r="F352" i="13"/>
  <c r="F387" i="13"/>
  <c r="F337" i="13"/>
  <c r="F360" i="13"/>
  <c r="F295" i="13"/>
  <c r="F241" i="13"/>
  <c r="F207" i="13"/>
  <c r="F135" i="13"/>
  <c r="F308" i="13"/>
  <c r="F396" i="13"/>
  <c r="F340" i="13"/>
  <c r="F348" i="13"/>
  <c r="F378" i="13"/>
  <c r="F331" i="13"/>
  <c r="F245" i="13"/>
  <c r="F294" i="13"/>
  <c r="F368" i="13"/>
  <c r="F381" i="13"/>
  <c r="F328" i="13"/>
  <c r="F239" i="13"/>
  <c r="F327" i="13"/>
  <c r="F249" i="13"/>
  <c r="F215" i="13"/>
  <c r="F321" i="13"/>
  <c r="F392" i="13"/>
  <c r="F342" i="13"/>
  <c r="F236" i="13"/>
  <c r="F324" i="13"/>
  <c r="F353" i="13"/>
  <c r="F253" i="13"/>
  <c r="F307" i="13"/>
  <c r="F263" i="13"/>
  <c r="F287" i="13"/>
  <c r="F350" i="13"/>
  <c r="F247" i="13"/>
  <c r="F58" i="13"/>
  <c r="F42" i="13"/>
  <c r="F44" i="13"/>
  <c r="F60" i="13"/>
  <c r="F43" i="13"/>
  <c r="F29" i="13"/>
  <c r="F33" i="13"/>
  <c r="F55" i="13"/>
  <c r="F54" i="13"/>
  <c r="F30" i="13"/>
  <c r="F31" i="13"/>
  <c r="F38" i="13"/>
  <c r="F27" i="13"/>
  <c r="F48" i="13"/>
  <c r="F49" i="13"/>
  <c r="F24" i="13"/>
  <c r="F21" i="13"/>
  <c r="F46" i="13"/>
  <c r="F23" i="13"/>
  <c r="F36" i="13"/>
  <c r="F52" i="13"/>
  <c r="F22" i="13"/>
  <c r="F51" i="13"/>
  <c r="F53" i="13"/>
  <c r="F59" i="13"/>
  <c r="F35" i="13"/>
  <c r="F50" i="13"/>
  <c r="F57" i="13"/>
  <c r="F56" i="13"/>
  <c r="F32" i="13"/>
  <c r="F37" i="13"/>
  <c r="F45" i="13"/>
  <c r="F28" i="13"/>
  <c r="F39" i="13"/>
  <c r="F40" i="13"/>
  <c r="F25" i="13"/>
  <c r="F26" i="13"/>
  <c r="F8" i="13"/>
  <c r="F20" i="13"/>
  <c r="F10" i="13"/>
  <c r="F11" i="13"/>
  <c r="F18" i="13"/>
  <c r="F19" i="13"/>
  <c r="F2" i="13"/>
  <c r="F5" i="13"/>
  <c r="F4" i="13"/>
  <c r="F9" i="13"/>
  <c r="F13" i="13"/>
  <c r="F3" i="13"/>
  <c r="F7" i="13"/>
  <c r="F12" i="13"/>
  <c r="F16" i="13"/>
  <c r="F17" i="13"/>
  <c r="F15" i="13"/>
  <c r="F14" i="13"/>
  <c r="F6"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<sst xmlns="http://schemas.openxmlformats.org/spreadsheetml/2006/main" count="4624" uniqueCount="708">
  <si>
    <t>Wattage / unit</t>
  </si>
  <si>
    <t>No. of fittings</t>
  </si>
  <si>
    <t>Loading type</t>
  </si>
  <si>
    <t>tbc</t>
  </si>
  <si>
    <t>Pendant</t>
  </si>
  <si>
    <t>Directional Downlight</t>
  </si>
  <si>
    <t>Mini LED uplight</t>
  </si>
  <si>
    <t>LED tape</t>
  </si>
  <si>
    <t>Fitting description</t>
  </si>
  <si>
    <t>350mA</t>
  </si>
  <si>
    <t>TBC</t>
  </si>
  <si>
    <t>mains</t>
  </si>
  <si>
    <t>SECURITY LIGHT</t>
  </si>
  <si>
    <t>24v</t>
  </si>
  <si>
    <t>9w/m</t>
  </si>
  <si>
    <t>Security lighting for immediate bright light, tbc with electrician on site.  Must be controlled separately to the landscape and facade lighting with an over ride to off switch.</t>
  </si>
  <si>
    <t>IP rated downlight</t>
  </si>
  <si>
    <t>Supply</t>
  </si>
  <si>
    <t>Wall Light</t>
  </si>
  <si>
    <t>Floor Washer</t>
  </si>
  <si>
    <t>Allow supply for mirror lighting.  Design TBC.</t>
  </si>
  <si>
    <t xml:space="preserve">LED tape to each shelf for infill. </t>
  </si>
  <si>
    <t>Niche Light</t>
  </si>
  <si>
    <t>Double downlight</t>
  </si>
  <si>
    <t>2 or 3</t>
  </si>
  <si>
    <t xml:space="preserve">One decorative pendant to over dining table.  </t>
  </si>
  <si>
    <t>Large Uplight</t>
  </si>
  <si>
    <t>750mA</t>
  </si>
  <si>
    <t xml:space="preserve">One large uplight in floor to light full height elevation next to front door.  Set as close to vertical edge as possible.  On/off only.  </t>
  </si>
  <si>
    <t xml:space="preserve">Allow supplies to raised kitchen garden.  TBC on final design - On/off only.  </t>
  </si>
  <si>
    <t xml:space="preserve">See first floor plan, large decorative pendant to void/double height space above front door.  </t>
  </si>
  <si>
    <t>Nine Directional Downlight for good reflected light and highlight to artwork.  Set as on plan 500mm off face.</t>
  </si>
  <si>
    <t xml:space="preserve">Eleven low level floor washers for low level light to stairs and landing.  Set as on plan 200mm from FFL to bottom of fitting.  </t>
  </si>
  <si>
    <t xml:space="preserve">Nine Mini LED uplight to underside of stairs and in window to first floor.  Set as close to vertical edge as possible.  </t>
  </si>
  <si>
    <t>Plaster Up/down wall light</t>
  </si>
  <si>
    <t xml:space="preserve">Ten Plaster wall up/down lights to light up into pitch detail to landing.  Set 1600mm from FFl to  middle of fitting.  </t>
  </si>
  <si>
    <t xml:space="preserve">Twelve Directional Downlight for good reflected and infill light, set as on plan 300mm or 500mm off face.  </t>
  </si>
  <si>
    <t>Under cupboard lights</t>
  </si>
  <si>
    <t xml:space="preserve">Allow for mini under cupboard lights to pocket shelves in joinery.  TBC on final design.  </t>
  </si>
  <si>
    <t xml:space="preserve">Two 5amp wall sockets and two 5amp floor sockets for lamp light to seating.  </t>
  </si>
  <si>
    <t xml:space="preserve">Three Directional Downlight and three Directional Downlight for infill and accent lighting to down shower tiles. Set as on plan.  </t>
  </si>
  <si>
    <t xml:space="preserve">One Floor washer to under towel rail.  200mm from FFL to bottom of fitting.  On/off only.  </t>
  </si>
  <si>
    <t xml:space="preserve">Allow supply to above sink for lighting to mirror.  TBC On final design of elevation.  On/off only.  </t>
  </si>
  <si>
    <t xml:space="preserve">Six Directional Downlight for good reflected and in fill light, set as on plan 400mm or 500mm off face.  </t>
  </si>
  <si>
    <t>Two decorative pendant to over working island.</t>
  </si>
  <si>
    <t xml:space="preserve">Ten Directional Downlight for good reflected and infill light, set as on plan 500mm or 400mm off face.  </t>
  </si>
  <si>
    <t xml:space="preserve">Five Directional downlight for focus to kitchen units, as on plan 400mm off face.  </t>
  </si>
  <si>
    <t xml:space="preserve">One Directional Downlight for focus to potential rug or coffee table to middle of snug seating area.  </t>
  </si>
  <si>
    <t xml:space="preserve">LED tape to light display unit.  Design TBC.  </t>
  </si>
  <si>
    <t xml:space="preserve">Six Directional Downlight for reflected light, set as on plan 400mm off face.  </t>
  </si>
  <si>
    <t xml:space="preserve">Eight Directional Downlight for good reflected light, set as on plan 400mm off face.  </t>
  </si>
  <si>
    <t>Three Double downlight for infill.  As on plan.</t>
  </si>
  <si>
    <t xml:space="preserve">Ten Directional Downlight for good reflected and infill light, set as on plan, 400mm off face.  </t>
  </si>
  <si>
    <t xml:space="preserve">LED tape to under light vanity unit and into niche shelves behind free standing bath.  </t>
  </si>
  <si>
    <t xml:space="preserve">Two wall light for side lighting to face in mirror.  Design TBC.  </t>
  </si>
  <si>
    <t xml:space="preserve">Two Low level floor washers for great night light.  200mm from finished floor level to bottom of fitting.  On/off only.  </t>
  </si>
  <si>
    <t xml:space="preserve">Wall light or picture light for light to artwork.  </t>
  </si>
  <si>
    <t xml:space="preserve">Two 5amp wall sockets for large angle poise floor standing lamp to over seating or lamp to chest.  </t>
  </si>
  <si>
    <t xml:space="preserve">Allow supply to center of pitch for pendant, depending on final layout / design.  </t>
  </si>
  <si>
    <t xml:space="preserve">One large decorative pendant to center of room.  </t>
  </si>
  <si>
    <t xml:space="preserve">Three 5amp wall sockets for lamp light.  </t>
  </si>
  <si>
    <t xml:space="preserve">LED tape to uplight above wardrobe and paneling.  </t>
  </si>
  <si>
    <t xml:space="preserve">Three IP rated downlight to light back tiles of shower linked to two Directional downlight for infill.  Set as on plan 100mm off face.  </t>
  </si>
  <si>
    <t>LED tape to under bench and in niche to shower.  Design TBC.</t>
  </si>
  <si>
    <t xml:space="preserve">Supply for mirror lighting - design of elevation TBC.  </t>
  </si>
  <si>
    <t xml:space="preserve">Two Mini LED uplight to window, set as close to vertical edge as possible.  On/off only.  Great night light.  </t>
  </si>
  <si>
    <t>One Decorative pendant to center of room.</t>
  </si>
  <si>
    <t>Two 5amp wall socket for lamp light.</t>
  </si>
  <si>
    <t xml:space="preserve">Two Directional Downlight linked to two IP rated downlight for infill and reflected light to ensuite, set as on plan 500mm or 100mm off face. </t>
  </si>
  <si>
    <t xml:space="preserve">One light to niche in shower, on/off only. </t>
  </si>
  <si>
    <t xml:space="preserve">LED tape to back light mirror over vanity, design TBC.  </t>
  </si>
  <si>
    <t>Allow for LED tape to under light vanity.  On/off only.</t>
  </si>
  <si>
    <t xml:space="preserve">Allow LED tape in the under side of the balcony for a continuous source of light to light down cladding of ground floor. With a recess in balcony to light up cladding to above front door.  Recessed into an extrusion.  On/off only.  </t>
  </si>
  <si>
    <t xml:space="preserve">Two Up/down wall light to light elevation of master bed.  Set 1600mm from finished floor level of balcony. Allow supplies to door of master suit and far side of balcony for lights in planters.   On/off only.  </t>
  </si>
  <si>
    <t xml:space="preserve">Three Angle poise wall light or picture lights on landing.  To light artwork.  </t>
  </si>
  <si>
    <t xml:space="preserve">Seven Directional Downlight for good reflected light, set as on plan 500mm or 400mm off face.  </t>
  </si>
  <si>
    <t xml:space="preserve">Two Double directional downlight for infill to center of room.  To highlight rug or coffee table.  </t>
  </si>
  <si>
    <t xml:space="preserve">LED tape to light under floating console, light down sides of paneling detail and to light behind TV in joinery unit.  Design TBC.  </t>
  </si>
  <si>
    <t xml:space="preserve">Three Under cupboard lights to light work top.  </t>
  </si>
  <si>
    <t xml:space="preserve">One Directional Downlight for focus to chest of drawers.  </t>
  </si>
  <si>
    <t xml:space="preserve">LED tape to light either side of paneling down wall and along ceiling.  </t>
  </si>
  <si>
    <t xml:space="preserve">One decorative pendant to over bedside table. </t>
  </si>
  <si>
    <t xml:space="preserve">One decorative pendant to over other bedside table. </t>
  </si>
  <si>
    <t xml:space="preserve">Six Mini LED uplight to windows and doors, set in sill as close to vertical edge as possible.  </t>
  </si>
  <si>
    <t>LED tape to side light paneling.  Design TBC.  On/off only.</t>
  </si>
  <si>
    <t xml:space="preserve">Two Directional Downlight for infill to wardrobe.  As on plan.  </t>
  </si>
  <si>
    <t>Allow supply for back lighting to panel on wall.  Design TBC.</t>
  </si>
  <si>
    <t xml:space="preserve">LED tape to shelves and under side of working island and breakfast bar.  </t>
  </si>
  <si>
    <t xml:space="preserve">Two 5amp floor sockets for lamp light to seating.  </t>
  </si>
  <si>
    <t xml:space="preserve">Six Directional Downlight and three IP rated downlight for infill and light to back of shower tiles, as on plan.  </t>
  </si>
  <si>
    <t xml:space="preserve">Three Directional Downlight linked to three IP rated downlight for infill and reflected light to ensuite, set as on plan 500mm and inline with edge of vanity.  </t>
  </si>
  <si>
    <t xml:space="preserve">One Low level floor washer under heated towel / radiator linked to one light in niche to back of shower.  Set as on plan 200mm from finished floor level (FFL) to bottom of fitting.  </t>
  </si>
  <si>
    <t>PIR</t>
  </si>
  <si>
    <t>Large uplights</t>
  </si>
  <si>
    <t xml:space="preserve">Allow supplies to main gate.  Two large uplights to light the gates posts, TBC on final design - On/off only.  </t>
  </si>
  <si>
    <t xml:space="preserve">Allow supplies to larger tress for a possible 13 spiked spots to uplight trunk of tree and into canopy, giving a subtle light back down into the garden and surrounding area.  TBC on final design - On/off only.  </t>
  </si>
  <si>
    <t>Mini Uplights</t>
  </si>
  <si>
    <t>Path wash light</t>
  </si>
  <si>
    <t xml:space="preserve">numbers and positioning TBC on final design - On/off only.  </t>
  </si>
  <si>
    <t xml:space="preserve">Allow supplies to  smaller trees and planters. Three Spiked spot to planter behind fire pit seating.  TBC on final design - On/off only.  </t>
  </si>
  <si>
    <t xml:space="preserve">Allow supplies to pathways and pergola for low level and uplights to structure.  Approximately Fifteen mini Uplights to every other pergola support alternatively, with approximately eleven pathway lights all </t>
  </si>
  <si>
    <t xml:space="preserve">Allow supplies to garage. N Possibly wall lights to frame garage doors - elevation TBC before fittings specified and positioned.    TBC on final design - On/off only.  </t>
  </si>
  <si>
    <t xml:space="preserve">SPARE CIRCUIT  Allow for around terrace and fire pit for low level lighting TBC.  </t>
  </si>
  <si>
    <t>Smart</t>
  </si>
  <si>
    <t>Data Cab (LMS Data 12U 550mm Deep Data Cabinet)</t>
  </si>
  <si>
    <t>Wall Mounted, 19-Inch Rackmount (W550mm x D550mm - or similar)</t>
  </si>
  <si>
    <t>24 Port Ubiquite POE managed switch</t>
  </si>
  <si>
    <t>U6+ Ubiquiti Access Point</t>
  </si>
  <si>
    <t>U6 in wall Access Points</t>
  </si>
  <si>
    <t>Patch panel</t>
  </si>
  <si>
    <t>Description</t>
  </si>
  <si>
    <t>Qty</t>
  </si>
  <si>
    <t>On PIR</t>
  </si>
  <si>
    <t>Yes</t>
  </si>
  <si>
    <t>type</t>
  </si>
  <si>
    <t>onoff</t>
  </si>
  <si>
    <t>On Plan</t>
  </si>
  <si>
    <t>Location</t>
  </si>
  <si>
    <t>Exterior</t>
  </si>
  <si>
    <t>Ensuite 4</t>
  </si>
  <si>
    <t>Bed 4</t>
  </si>
  <si>
    <t>Study</t>
  </si>
  <si>
    <t>Lounge</t>
  </si>
  <si>
    <t>WC/Wet room</t>
  </si>
  <si>
    <t>Games room</t>
  </si>
  <si>
    <t>Dining Kitchen</t>
  </si>
  <si>
    <t>Pantry</t>
  </si>
  <si>
    <t>Laundry</t>
  </si>
  <si>
    <t>Plant Room</t>
  </si>
  <si>
    <t>Master Dressing</t>
  </si>
  <si>
    <t>Master Ensuite</t>
  </si>
  <si>
    <t>Master Bed</t>
  </si>
  <si>
    <t>Bed 2</t>
  </si>
  <si>
    <t>Ensuite 2</t>
  </si>
  <si>
    <t>Bed 3</t>
  </si>
  <si>
    <t>Ensuite 3</t>
  </si>
  <si>
    <t>dimmer</t>
  </si>
  <si>
    <t>driver or transformer</t>
  </si>
  <si>
    <t>Description of circuit</t>
  </si>
  <si>
    <t>4PM</t>
  </si>
  <si>
    <t>D2PM</t>
  </si>
  <si>
    <t>Notes</t>
  </si>
  <si>
    <t>C8</t>
  </si>
  <si>
    <t>C9</t>
  </si>
  <si>
    <t>C10</t>
  </si>
  <si>
    <t>C7</t>
  </si>
  <si>
    <t>C6</t>
  </si>
  <si>
    <t>C5</t>
  </si>
  <si>
    <t>C4</t>
  </si>
  <si>
    <t>C3</t>
  </si>
  <si>
    <t>C2</t>
  </si>
  <si>
    <t>C1</t>
  </si>
  <si>
    <t>C</t>
  </si>
  <si>
    <t>FMD</t>
  </si>
  <si>
    <t>FME</t>
  </si>
  <si>
    <t>GEG</t>
  </si>
  <si>
    <t>GLR</t>
  </si>
  <si>
    <t>GGR</t>
  </si>
  <si>
    <t>GEH</t>
  </si>
  <si>
    <t>FMB</t>
  </si>
  <si>
    <t>FB2</t>
  </si>
  <si>
    <t>Spiked Spot</t>
  </si>
  <si>
    <t>Garden</t>
  </si>
  <si>
    <t>GKD</t>
  </si>
  <si>
    <t>GPR</t>
  </si>
  <si>
    <t>GSD</t>
  </si>
  <si>
    <t>GLG</t>
  </si>
  <si>
    <t>GWC</t>
  </si>
  <si>
    <t>FB3</t>
  </si>
  <si>
    <t>FE2</t>
  </si>
  <si>
    <t>FE3</t>
  </si>
  <si>
    <t>FB4</t>
  </si>
  <si>
    <t>FE4</t>
  </si>
  <si>
    <t>Room</t>
  </si>
  <si>
    <t>Code</t>
  </si>
  <si>
    <t>Floor</t>
  </si>
  <si>
    <t>Ground</t>
  </si>
  <si>
    <t>First</t>
  </si>
  <si>
    <t>GPT</t>
  </si>
  <si>
    <t>Entrance Hall</t>
  </si>
  <si>
    <t>Entrance Landing</t>
  </si>
  <si>
    <t>FEL</t>
  </si>
  <si>
    <t>Device</t>
  </si>
  <si>
    <t>Shelly Pro Dimmer D2PM</t>
  </si>
  <si>
    <t>Shelly Pro 4PM</t>
  </si>
  <si>
    <t>CX</t>
  </si>
  <si>
    <t>DiagNo</t>
  </si>
  <si>
    <t>From</t>
  </si>
  <si>
    <t>Type</t>
  </si>
  <si>
    <t>No</t>
  </si>
  <si>
    <t>O1</t>
  </si>
  <si>
    <t>O2</t>
  </si>
  <si>
    <t>S1</t>
  </si>
  <si>
    <t>S2</t>
  </si>
  <si>
    <t>S3</t>
  </si>
  <si>
    <t>S4</t>
  </si>
  <si>
    <t>O3</t>
  </si>
  <si>
    <t>O4</t>
  </si>
  <si>
    <t>Circuit</t>
  </si>
  <si>
    <t>Switch</t>
  </si>
  <si>
    <t>Access Point</t>
  </si>
  <si>
    <t>A</t>
  </si>
  <si>
    <t>P</t>
  </si>
  <si>
    <t>R</t>
  </si>
  <si>
    <t>S</t>
  </si>
  <si>
    <t>Plug/Socket</t>
  </si>
  <si>
    <t>MCB</t>
  </si>
  <si>
    <t>D3O1</t>
  </si>
  <si>
    <t>D</t>
  </si>
  <si>
    <t>P1O1</t>
  </si>
  <si>
    <t>P1O2</t>
  </si>
  <si>
    <t>P1O3</t>
  </si>
  <si>
    <t>P1O4</t>
  </si>
  <si>
    <t>P2O1</t>
  </si>
  <si>
    <t>P2O2</t>
  </si>
  <si>
    <t>P2O3</t>
  </si>
  <si>
    <t>P2O4</t>
  </si>
  <si>
    <t>P3O1</t>
  </si>
  <si>
    <t>P3O2</t>
  </si>
  <si>
    <t>P3O3</t>
  </si>
  <si>
    <t>D1O1</t>
  </si>
  <si>
    <t>D1O2</t>
  </si>
  <si>
    <t>D2O1</t>
  </si>
  <si>
    <t>D2O2</t>
  </si>
  <si>
    <t>D3O2</t>
  </si>
  <si>
    <t>D4O1</t>
  </si>
  <si>
    <t>D5O1</t>
  </si>
  <si>
    <t>D5O2</t>
  </si>
  <si>
    <t>D1S1</t>
  </si>
  <si>
    <t>2 Switches connected to S1-4</t>
  </si>
  <si>
    <t>D2S1</t>
  </si>
  <si>
    <t>1 Switch connected S1-2</t>
  </si>
  <si>
    <t>4 Core</t>
  </si>
  <si>
    <t>2 Core</t>
  </si>
  <si>
    <t>D3S1</t>
  </si>
  <si>
    <t>1 Switch connected S3-4</t>
  </si>
  <si>
    <t>Was C7 5amp but now regular 2 gang socket</t>
  </si>
  <si>
    <t>P2</t>
  </si>
  <si>
    <t>P1</t>
  </si>
  <si>
    <t>2 gang socket</t>
  </si>
  <si>
    <t>TV</t>
  </si>
  <si>
    <t>T</t>
  </si>
  <si>
    <t>By the main door, programmed to be lighting scenes and gate operation</t>
  </si>
  <si>
    <t>By entrance into lounge</t>
  </si>
  <si>
    <t>In the future add an LED on a wifi relay from the socket triggered on programming</t>
  </si>
  <si>
    <t>P3</t>
  </si>
  <si>
    <t>Smart bulbs</t>
  </si>
  <si>
    <t>NA</t>
  </si>
  <si>
    <t>socket</t>
  </si>
  <si>
    <t>Dumb single switch wired to Shelly</t>
  </si>
  <si>
    <t>Standard 2 gang socket</t>
  </si>
  <si>
    <t>R1</t>
  </si>
  <si>
    <t>D2S3</t>
  </si>
  <si>
    <t>PIR connected to S3</t>
  </si>
  <si>
    <t>All PIRs chained off one MCB, this could be a single switched live back to S3 input of D4</t>
  </si>
  <si>
    <t>LED tape to joinery detail, cable in place but no LED at this time, to be accessed later.</t>
  </si>
  <si>
    <t>A1</t>
  </si>
  <si>
    <t>A2</t>
  </si>
  <si>
    <t>Access point PoE x2 cables for redundancy</t>
  </si>
  <si>
    <t>2 ethernet cables for redundancy</t>
  </si>
  <si>
    <t>E1</t>
  </si>
  <si>
    <t>E2</t>
  </si>
  <si>
    <t>AP</t>
  </si>
  <si>
    <t>D4S1</t>
  </si>
  <si>
    <t>Inside Study door</t>
  </si>
  <si>
    <t>Data Point</t>
  </si>
  <si>
    <t>D1</t>
  </si>
  <si>
    <t>E3</t>
  </si>
  <si>
    <t>Data point for ethernet x2 cables</t>
  </si>
  <si>
    <t>ETH</t>
  </si>
  <si>
    <t>DP</t>
  </si>
  <si>
    <t>Data pont for ethernet connection</t>
  </si>
  <si>
    <t>D6O2</t>
  </si>
  <si>
    <t>D6O1</t>
  </si>
  <si>
    <t>Supply - TBC</t>
  </si>
  <si>
    <t>Under cupboard lights - TBC</t>
  </si>
  <si>
    <t>Was C6 5amp but now regular 2 gang socket</t>
  </si>
  <si>
    <t>P4O1</t>
  </si>
  <si>
    <t>D5S1</t>
  </si>
  <si>
    <t>4 core</t>
  </si>
  <si>
    <t>Total load</t>
  </si>
  <si>
    <t xml:space="preserve">Two mini LED uplight to uplight large glass opening to terrace.  Set as close to vertical edge as possible.  On/off only.  </t>
  </si>
  <si>
    <t>Six Mini LED uplight to large glass openings, set as close to vertical edge as possible.  This is now combined with old C5 above</t>
  </si>
  <si>
    <t>Mini LED uplight these are deleted and replaced with C7 below</t>
  </si>
  <si>
    <t>Directional Downlight Delete</t>
  </si>
  <si>
    <t>D7O1</t>
  </si>
  <si>
    <t>D7O2</t>
  </si>
  <si>
    <t>D8O1</t>
  </si>
  <si>
    <t>D8O2</t>
  </si>
  <si>
    <t>D9O1</t>
  </si>
  <si>
    <t>D9O2</t>
  </si>
  <si>
    <t>D10O1</t>
  </si>
  <si>
    <t>D10O2</t>
  </si>
  <si>
    <t>5amp - Delete</t>
  </si>
  <si>
    <t>P4</t>
  </si>
  <si>
    <t>P5</t>
  </si>
  <si>
    <t>E4</t>
  </si>
  <si>
    <t>T1</t>
  </si>
  <si>
    <t>Coaxial Cable</t>
  </si>
  <si>
    <t>Standard coaxial cable</t>
  </si>
  <si>
    <t>D7S1</t>
  </si>
  <si>
    <t>D8S1</t>
  </si>
  <si>
    <t>D11O1</t>
  </si>
  <si>
    <t>D11O2</t>
  </si>
  <si>
    <t>E5</t>
  </si>
  <si>
    <t>P1S1</t>
  </si>
  <si>
    <t>P1S2</t>
  </si>
  <si>
    <t>PIR connected to S1</t>
  </si>
  <si>
    <t>PIR connected to S2</t>
  </si>
  <si>
    <t>D2</t>
  </si>
  <si>
    <t>D3</t>
  </si>
  <si>
    <t>E6</t>
  </si>
  <si>
    <t>E7</t>
  </si>
  <si>
    <t>E8</t>
  </si>
  <si>
    <t>Data point for camera x2 cables</t>
  </si>
  <si>
    <t>Data pont for camera</t>
  </si>
  <si>
    <t>D12O1</t>
  </si>
  <si>
    <t>D12O2</t>
  </si>
  <si>
    <t>One Wall light to back door.</t>
  </si>
  <si>
    <t>P1S3</t>
  </si>
  <si>
    <t>D12S1</t>
  </si>
  <si>
    <t>D13O1</t>
  </si>
  <si>
    <t>P4O2</t>
  </si>
  <si>
    <t>P4O3</t>
  </si>
  <si>
    <t>P1S4</t>
  </si>
  <si>
    <t>Power supply to toilet</t>
  </si>
  <si>
    <t>supply</t>
  </si>
  <si>
    <t>Floor Washer - could be joined with C3?</t>
  </si>
  <si>
    <t>Supply - could be joined with C2?</t>
  </si>
  <si>
    <t>D14O1</t>
  </si>
  <si>
    <t>E9</t>
  </si>
  <si>
    <t>E10</t>
  </si>
  <si>
    <t>D14S1</t>
  </si>
  <si>
    <t>D15O1</t>
  </si>
  <si>
    <t>D15O2</t>
  </si>
  <si>
    <t>D16O1</t>
  </si>
  <si>
    <t>D15S1</t>
  </si>
  <si>
    <t>D16S1</t>
  </si>
  <si>
    <t>D16O2</t>
  </si>
  <si>
    <t>D17O1</t>
  </si>
  <si>
    <t>D17O2</t>
  </si>
  <si>
    <t>D18O1</t>
  </si>
  <si>
    <t>P2S1</t>
  </si>
  <si>
    <t>Floor Washer - can this be on dimmer 240V?</t>
  </si>
  <si>
    <t>E11</t>
  </si>
  <si>
    <t>D18O2</t>
  </si>
  <si>
    <t>D19O1</t>
  </si>
  <si>
    <t>D19O2</t>
  </si>
  <si>
    <t>D20O1</t>
  </si>
  <si>
    <t>D20O2</t>
  </si>
  <si>
    <t>D19S1</t>
  </si>
  <si>
    <t>D21O1</t>
  </si>
  <si>
    <t>D21O2</t>
  </si>
  <si>
    <t>D22O1</t>
  </si>
  <si>
    <t>D21S1</t>
  </si>
  <si>
    <t>D21S3</t>
  </si>
  <si>
    <t>E12</t>
  </si>
  <si>
    <t>D22O2</t>
  </si>
  <si>
    <t>D23O1</t>
  </si>
  <si>
    <t>D23O2</t>
  </si>
  <si>
    <t>Mini LED uplight - can this be on dimmer 240V?</t>
  </si>
  <si>
    <t>D24O1</t>
  </si>
  <si>
    <t>PIR connected to S4</t>
  </si>
  <si>
    <t>P2S2</t>
  </si>
  <si>
    <t>Power supply to toilet for potential future use</t>
  </si>
  <si>
    <t>D24O2</t>
  </si>
  <si>
    <t>D25O1</t>
  </si>
  <si>
    <t>D25O2</t>
  </si>
  <si>
    <t>D25S1</t>
  </si>
  <si>
    <t>D26O1</t>
  </si>
  <si>
    <t>P2S3</t>
  </si>
  <si>
    <t>P5O1</t>
  </si>
  <si>
    <t>P5O2</t>
  </si>
  <si>
    <t>D27O1</t>
  </si>
  <si>
    <t>D27O2</t>
  </si>
  <si>
    <t>D26S1</t>
  </si>
  <si>
    <t>D27S1</t>
  </si>
  <si>
    <t>D28O1</t>
  </si>
  <si>
    <t>P6O1</t>
  </si>
  <si>
    <t>P6O2</t>
  </si>
  <si>
    <t>P6O3</t>
  </si>
  <si>
    <t>BC3</t>
  </si>
  <si>
    <t>E13</t>
  </si>
  <si>
    <t>E14</t>
  </si>
  <si>
    <t>E15</t>
  </si>
  <si>
    <t>E16</t>
  </si>
  <si>
    <t>E17</t>
  </si>
  <si>
    <t>E18</t>
  </si>
  <si>
    <t>P2S4</t>
  </si>
  <si>
    <t>P3S1</t>
  </si>
  <si>
    <t>PIR connected to S1 - On underside of Brise soleil</t>
  </si>
  <si>
    <t>These are items that share the same circuit</t>
  </si>
  <si>
    <t>Items that appear on drawing but are to be removed</t>
  </si>
  <si>
    <t>This does not take into consideration MVHR/ASHP/EV/Hot water</t>
  </si>
  <si>
    <t>P6</t>
  </si>
  <si>
    <t>P7</t>
  </si>
  <si>
    <t>P8</t>
  </si>
  <si>
    <t>This is power for future shutters</t>
  </si>
  <si>
    <t>future</t>
  </si>
  <si>
    <t>In addition to this, power and ethernet x2 to garage</t>
  </si>
  <si>
    <t>In addition to this, power and ethernet to gate</t>
  </si>
  <si>
    <t>In addition to this, ethernet to each switch location</t>
  </si>
  <si>
    <t>This assumes it will not be necessary to have ethernet to shutter locations</t>
  </si>
  <si>
    <t>Questions/Notes</t>
  </si>
  <si>
    <t>IP addr</t>
  </si>
  <si>
    <t>Mac addr</t>
  </si>
  <si>
    <t>Must configure all devices as follows</t>
  </si>
  <si>
    <t>Set IP Address</t>
  </si>
  <si>
    <t>Set name</t>
  </si>
  <si>
    <t>2 x Switch</t>
  </si>
  <si>
    <t>1 x Switch</t>
  </si>
  <si>
    <t>Unknown</t>
  </si>
  <si>
    <t>U</t>
  </si>
  <si>
    <t>Disconnect all inputs from outputs</t>
  </si>
  <si>
    <t>add actions (webhooks)</t>
  </si>
  <si>
    <t>D16</t>
  </si>
  <si>
    <t>D17</t>
  </si>
  <si>
    <t>D18</t>
  </si>
  <si>
    <t>id</t>
  </si>
  <si>
    <t>on</t>
  </si>
  <si>
    <t>brightness</t>
  </si>
  <si>
    <t>transition_duration</t>
  </si>
  <si>
    <t>http://192.168.33.1/rpc/Webhook.Create?cid=0&amp;enable=true&amp;event="switch.on"&amp;urls=["http://10.33.55.167/rpc/Switch.Set?id=1&amp;on=true&amp;toggle_after=30"]</t>
  </si>
  <si>
    <t>input.toggle_on</t>
  </si>
  <si>
    <t>Events</t>
  </si>
  <si>
    <t>url</t>
  </si>
  <si>
    <t>toggle_after</t>
  </si>
  <si>
    <t>Event</t>
  </si>
  <si>
    <t>Name</t>
  </si>
  <si>
    <t>[id]</t>
  </si>
  <si>
    <t>true</t>
  </si>
  <si>
    <t>Dimmer on 60%</t>
  </si>
  <si>
    <t>Dimmer off</t>
  </si>
  <si>
    <t>false</t>
  </si>
  <si>
    <t>Dimmer on 100%</t>
  </si>
  <si>
    <t>Dimmer on 30%</t>
  </si>
  <si>
    <t>Switch on</t>
  </si>
  <si>
    <t>Switch off</t>
  </si>
  <si>
    <t>Light</t>
  </si>
  <si>
    <t>Trigger</t>
  </si>
  <si>
    <t>Room1</t>
  </si>
  <si>
    <t>Circuit1</t>
  </si>
  <si>
    <t>State1</t>
  </si>
  <si>
    <t>Column4</t>
  </si>
  <si>
    <t>cid</t>
  </si>
  <si>
    <t>LeftUp</t>
  </si>
  <si>
    <t>LeftDown</t>
  </si>
  <si>
    <t>RightUp</t>
  </si>
  <si>
    <t>RightDown</t>
  </si>
  <si>
    <t>SwitchButton</t>
  </si>
  <si>
    <t>2 gang socket (replaces C6)</t>
  </si>
  <si>
    <t>2 gang socket (floor mounted)</t>
  </si>
  <si>
    <t>Access Points</t>
  </si>
  <si>
    <t>Subnet Start</t>
  </si>
  <si>
    <t>192.168.10.</t>
  </si>
  <si>
    <t>Length</t>
  </si>
  <si>
    <t>To</t>
  </si>
  <si>
    <t>Start</t>
  </si>
  <si>
    <t>D4</t>
  </si>
  <si>
    <t>D5</t>
  </si>
  <si>
    <t>D6</t>
  </si>
  <si>
    <t>D7</t>
  </si>
  <si>
    <t>D8</t>
  </si>
  <si>
    <t>D9</t>
  </si>
  <si>
    <t>D10</t>
  </si>
  <si>
    <t>D11</t>
  </si>
  <si>
    <t>D12</t>
  </si>
  <si>
    <t>D13</t>
  </si>
  <si>
    <t>D14</t>
  </si>
  <si>
    <t>D15</t>
  </si>
  <si>
    <t>2c:bc:bb:9e:c6:83</t>
  </si>
  <si>
    <t>D19</t>
  </si>
  <si>
    <t>D20</t>
  </si>
  <si>
    <t>D21</t>
  </si>
  <si>
    <t>D22</t>
  </si>
  <si>
    <t>D23</t>
  </si>
  <si>
    <t>D24</t>
  </si>
  <si>
    <t>D25</t>
  </si>
  <si>
    <t>D26</t>
  </si>
  <si>
    <t>D27</t>
  </si>
  <si>
    <t>D28</t>
  </si>
  <si>
    <t>D29</t>
  </si>
  <si>
    <t>D30</t>
  </si>
  <si>
    <t>Was 5amp, now deleted but replaced with Directional Downlight</t>
  </si>
  <si>
    <t>D29O1</t>
  </si>
  <si>
    <t>SwitchCount</t>
  </si>
  <si>
    <t>StartPos</t>
  </si>
  <si>
    <t>input 0</t>
  </si>
  <si>
    <t>input 1</t>
  </si>
  <si>
    <t>input 2</t>
  </si>
  <si>
    <t>input 3</t>
  </si>
  <si>
    <t>input</t>
  </si>
  <si>
    <t>switch</t>
  </si>
  <si>
    <t>device</t>
  </si>
  <si>
    <t>adaptive</t>
  </si>
  <si>
    <t>off</t>
  </si>
  <si>
    <t>Brightness</t>
  </si>
  <si>
    <t>set1_brightness</t>
  </si>
  <si>
    <t>set1_output</t>
  </si>
  <si>
    <t>set1_device</t>
  </si>
  <si>
    <t>single_push</t>
  </si>
  <si>
    <t>double_push</t>
  </si>
  <si>
    <t>triple_push</t>
  </si>
  <si>
    <t>long_push</t>
  </si>
  <si>
    <t>trigger_device</t>
  </si>
  <si>
    <t>PIR trigger 1</t>
  </si>
  <si>
    <t>PIR trigger 2</t>
  </si>
  <si>
    <t>PIR trigger 3</t>
  </si>
  <si>
    <t>PIR trigger 4</t>
  </si>
  <si>
    <t>set1</t>
  </si>
  <si>
    <t>Garden (CX)</t>
  </si>
  <si>
    <t>Garden (C4)</t>
  </si>
  <si>
    <t>Garden (C8)</t>
  </si>
  <si>
    <t>Dining Kitchen (C7)</t>
  </si>
  <si>
    <t>Ensuite 3 (C2)</t>
  </si>
  <si>
    <t>Ensuite 4 (C2)</t>
  </si>
  <si>
    <t>Entrance Hall (C1)</t>
  </si>
  <si>
    <t>Entrance Hall (C3)</t>
  </si>
  <si>
    <t>Entrance Landing (C5)</t>
  </si>
  <si>
    <t>Study (C1)</t>
  </si>
  <si>
    <t>Lounge (C1)</t>
  </si>
  <si>
    <t>Lounge (C3)</t>
  </si>
  <si>
    <t>Dining Kitchen (C1)</t>
  </si>
  <si>
    <t>Dining Kitchen (C3)</t>
  </si>
  <si>
    <t>Dining Kitchen (C6)</t>
  </si>
  <si>
    <t>Dining Kitchen (C9)</t>
  </si>
  <si>
    <t>Pantry (C2)</t>
  </si>
  <si>
    <t>Plant Room (C1)</t>
  </si>
  <si>
    <t>WC/Wet room (C1)</t>
  </si>
  <si>
    <t>Games room (C1)</t>
  </si>
  <si>
    <t>Master Dressing (C1)</t>
  </si>
  <si>
    <t>Master Dressing (C3)</t>
  </si>
  <si>
    <t>Master Ensuite (C2)</t>
  </si>
  <si>
    <t>Master Ensuite (C4)</t>
  </si>
  <si>
    <t>Master Bed (C2)</t>
  </si>
  <si>
    <t>Master Bed (C5)</t>
  </si>
  <si>
    <t>Master Bed (BC3)</t>
  </si>
  <si>
    <t>Bed 2 (C3)</t>
  </si>
  <si>
    <t>Ensuite 2 (C2)</t>
  </si>
  <si>
    <t>Ensuite 2 (C4)</t>
  </si>
  <si>
    <t>Bed 3 (C3)</t>
  </si>
  <si>
    <t>Ensuite 3 (C1)</t>
  </si>
  <si>
    <t>Bed 4 (C1)</t>
  </si>
  <si>
    <t>Ensuite 4 (C1)</t>
  </si>
  <si>
    <t>Bed 4 (C2)</t>
  </si>
  <si>
    <t>circuit</t>
  </si>
  <si>
    <t>output</t>
  </si>
  <si>
    <t>Garden (C1)</t>
  </si>
  <si>
    <t>Garden (C5)</t>
  </si>
  <si>
    <t>Garden (C9)</t>
  </si>
  <si>
    <t>WC/Wet room (C2)</t>
  </si>
  <si>
    <t>Ensuite 3 (C3)</t>
  </si>
  <si>
    <t>Ensuite 4 (C3)</t>
  </si>
  <si>
    <t>Entrance Hall (C2)</t>
  </si>
  <si>
    <t>Entrance Hall (C4)</t>
  </si>
  <si>
    <t>Entrance Landing (C6)</t>
  </si>
  <si>
    <t>Empty</t>
  </si>
  <si>
    <t>Lounge (C2)</t>
  </si>
  <si>
    <t>Lounge (C4)</t>
  </si>
  <si>
    <t>Dining Kitchen (C2)</t>
  </si>
  <si>
    <t>Dining Kitchen (C4)</t>
  </si>
  <si>
    <t>Dining Kitchen (C8)</t>
  </si>
  <si>
    <t>Pantry (C1)</t>
  </si>
  <si>
    <t>Laundry (C1)</t>
  </si>
  <si>
    <t>Plant Room (C2)</t>
  </si>
  <si>
    <t>Master Dressing (C2)</t>
  </si>
  <si>
    <t>Master Ensuite (C1)</t>
  </si>
  <si>
    <t>Master Ensuite (C3)</t>
  </si>
  <si>
    <t>Master Bed (C1)</t>
  </si>
  <si>
    <t>Master Bed (C3)</t>
  </si>
  <si>
    <t>Master Bed (C6)</t>
  </si>
  <si>
    <t>Bed 2 (C1)</t>
  </si>
  <si>
    <t>Ensuite 2 (C1)</t>
  </si>
  <si>
    <t>Ensuite 2 (C3)</t>
  </si>
  <si>
    <t>Bed 3 (C1)</t>
  </si>
  <si>
    <t>Bed 3 (C4)</t>
  </si>
  <si>
    <t>Bed 4 (C3)</t>
  </si>
  <si>
    <t>Garden (C2)</t>
  </si>
  <si>
    <t>Garden (C6)</t>
  </si>
  <si>
    <t>Garden (C10)</t>
  </si>
  <si>
    <t>WC/Wet room (C3)</t>
  </si>
  <si>
    <t>Ensuite 4 (C4)</t>
  </si>
  <si>
    <t>Garden (C3)</t>
  </si>
  <si>
    <t>Garden (C7)</t>
  </si>
  <si>
    <t>lookup Room</t>
  </si>
  <si>
    <t>lookup Device</t>
  </si>
  <si>
    <t>2c:bc:bb:a4:ff:20</t>
  </si>
  <si>
    <t>34:98:7a:47:24:ab</t>
  </si>
  <si>
    <t>toggle_on</t>
  </si>
  <si>
    <t>toggle_off</t>
  </si>
  <si>
    <t>trigger_event</t>
  </si>
  <si>
    <t>startinput</t>
  </si>
  <si>
    <t>start</t>
  </si>
  <si>
    <t>lowLight</t>
  </si>
  <si>
    <t>nightonlylow</t>
  </si>
  <si>
    <t>midLight</t>
  </si>
  <si>
    <t>highLight</t>
  </si>
  <si>
    <t>maxLight</t>
  </si>
  <si>
    <t>Might move to D26-1</t>
  </si>
  <si>
    <t>1 Switches connected to S1-2</t>
  </si>
  <si>
    <t>D4O2</t>
  </si>
  <si>
    <t>Study (C2)</t>
  </si>
  <si>
    <t>D13O2</t>
  </si>
  <si>
    <t>WC/Wet room (C4)</t>
  </si>
  <si>
    <t>08:f9:e0:e7:3d:57</t>
  </si>
  <si>
    <t>2c:bc:bb:9f:39:8b</t>
  </si>
  <si>
    <t>2c:bc:bb:a5:04:9f</t>
  </si>
  <si>
    <t>2c:bc:bb:a2:1a:97</t>
  </si>
  <si>
    <t>2c:bc:bb:a4:24:7</t>
  </si>
  <si>
    <t>2c:bc:bb:a5:12:3f</t>
  </si>
  <si>
    <t>2c:bc:bb:a0:f3:e7</t>
  </si>
  <si>
    <t>2c:bc:bb:a3:90:93</t>
  </si>
  <si>
    <t>2c:bc:bb:9f:68:af</t>
  </si>
  <si>
    <t>2c:bc:bb:a5:06:17</t>
  </si>
  <si>
    <t>2c:bc:bb:a2:6a:2f</t>
  </si>
  <si>
    <t>2c:bc:bb:a7:83:73</t>
  </si>
  <si>
    <t>2c:bc:bb:a2:50:db</t>
  </si>
  <si>
    <t>2c:bc:bb:a2:22:c7</t>
  </si>
  <si>
    <t>2c:bc:bb:a5:41:7</t>
  </si>
  <si>
    <t>2c:bc:bb:a5:1c:4b</t>
  </si>
  <si>
    <t>2c:bc:bb:a3:8d:5f</t>
  </si>
  <si>
    <t>2c:bc:bb:9e:ba:f</t>
  </si>
  <si>
    <t>Faulty Device : 2c:bc:bb:a5:1c:4b</t>
  </si>
  <si>
    <t>2c:bc:bb:a5:4c:b3</t>
  </si>
  <si>
    <t>Faulty Device : 2c:bc:bb:a5:4c:b3</t>
  </si>
  <si>
    <t>2c:bc:bb:a5:11:bb</t>
  </si>
  <si>
    <t>2c:bc:bb:a4:0b:cb</t>
  </si>
  <si>
    <t>2c:bc:bb:9f:47:67</t>
  </si>
  <si>
    <t>2c:bc:bb:a5:56:a3</t>
  </si>
  <si>
    <t>2c:bc:bb:9f:3a:c7</t>
  </si>
  <si>
    <t>2c:bc:bb:a2:01:87</t>
  </si>
  <si>
    <t>2c:bc:bb:a3:fe:47</t>
  </si>
  <si>
    <t>2c:bc:bb:a1:eb:ef</t>
  </si>
  <si>
    <t>2c:bc:bb:a2:12:db</t>
  </si>
  <si>
    <t>2c:bc:bb:b8:aa:6f</t>
  </si>
  <si>
    <t>2c:bc:bb:b2:76:ff</t>
  </si>
  <si>
    <t>2c:bc:bb:b8:a7:47</t>
  </si>
  <si>
    <t>2c:bc:bb:b1:50:53</t>
  </si>
  <si>
    <t>2c:bc:bb:b8:8e:c7</t>
  </si>
  <si>
    <t>CS1</t>
  </si>
  <si>
    <t>CS2</t>
  </si>
  <si>
    <t>CS3</t>
  </si>
  <si>
    <t>CS4</t>
  </si>
  <si>
    <t>S1 or SW1</t>
  </si>
  <si>
    <t>S2 or SW2</t>
  </si>
  <si>
    <t>S3 or SW3</t>
  </si>
  <si>
    <t>S4 or SW4</t>
  </si>
  <si>
    <t>On the D2PMs the inputs are SW1 but 4PM's are S1</t>
  </si>
  <si>
    <t>IP rated LED, Benchlight new circuit</t>
  </si>
  <si>
    <t>LED tape - if can be dimmed then D26O2</t>
  </si>
  <si>
    <t>Niche Light - if can be dimmed then D26O2</t>
  </si>
  <si>
    <t>LED tape - included now</t>
  </si>
  <si>
    <t>Balcony Supply C3 on diagram - need to figure this out - dimmable?</t>
  </si>
  <si>
    <t>Supply - Josh was going to confirm</t>
  </si>
  <si>
    <t>LED tape - is this now the mirror?</t>
  </si>
  <si>
    <t>Up/down wall light - this was the cable end, is this now D21O1-FMB-BC3?</t>
  </si>
  <si>
    <t>Home Assistant</t>
  </si>
  <si>
    <t>47r79pbp</t>
  </si>
  <si>
    <t>er3cbDxqVTKt</t>
  </si>
  <si>
    <t>47r79pbp1</t>
  </si>
  <si>
    <t>D11S1</t>
  </si>
  <si>
    <t>D6S1</t>
  </si>
  <si>
    <t>Lift appears to be on port 13</t>
  </si>
  <si>
    <t>AP04</t>
  </si>
  <si>
    <t>Kitchen Island</t>
  </si>
  <si>
    <t>192.168.10.6</t>
  </si>
  <si>
    <t>TV Zone</t>
  </si>
  <si>
    <t>AP02</t>
  </si>
  <si>
    <t>192.168.10.4</t>
  </si>
  <si>
    <t>M01</t>
  </si>
  <si>
    <t>M</t>
  </si>
  <si>
    <t>cc:ba:97:de:60:a0</t>
  </si>
  <si>
    <t>Shelly Retro</t>
  </si>
  <si>
    <t>Matter Device</t>
  </si>
  <si>
    <t>Matter number</t>
  </si>
  <si>
    <t>0083-971-6833</t>
  </si>
  <si>
    <t>Matter Sticker</t>
  </si>
  <si>
    <t>M02</t>
  </si>
  <si>
    <t>e4:b0:63:60:5f:b4</t>
  </si>
  <si>
    <t>Desc</t>
  </si>
  <si>
    <t>Plant MVHR</t>
  </si>
  <si>
    <t>Loft MVHR</t>
  </si>
  <si>
    <t>M03</t>
  </si>
  <si>
    <t>M04</t>
  </si>
  <si>
    <t>2c:bc:bb:c0:a9:a0</t>
  </si>
  <si>
    <t>Kitchen Island Charger</t>
  </si>
  <si>
    <t>M05</t>
  </si>
  <si>
    <t>cc:ba:97:dd:52:88</t>
  </si>
  <si>
    <t>Garage Door</t>
  </si>
  <si>
    <t>7c:2c:67:6a:6a:04</t>
  </si>
  <si>
    <t>Garage Main LED</t>
  </si>
  <si>
    <t>M06</t>
  </si>
  <si>
    <t>7c:2c:67:68:e6:78</t>
  </si>
  <si>
    <t>Garage UpDown</t>
  </si>
  <si>
    <t>Need to pull data from inverter/batter</t>
  </si>
  <si>
    <t>What is the best way to get data</t>
  </si>
  <si>
    <t>Ask question on forum FB to see if people know if there is an api that can be used</t>
  </si>
  <si>
    <t xml:space="preserve">Vectaire </t>
  </si>
  <si>
    <t>WHHR-MAXI/BY</t>
  </si>
  <si>
    <t>Intake</t>
  </si>
  <si>
    <t>Exhaust</t>
  </si>
  <si>
    <t>Upstairs</t>
  </si>
  <si>
    <t>Downstairs</t>
  </si>
  <si>
    <t>Mode</t>
  </si>
  <si>
    <t>Boost</t>
  </si>
  <si>
    <t>Trickle</t>
  </si>
  <si>
    <t>Lift</t>
  </si>
  <si>
    <t>ProxMox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</si>
</sst>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FF7C80"/>
        <bgColor indexed="64"/>
      </patternFill>
    </fill>
    <fill>
      <patternFill patternType="solid">
        <fgColor rgb="FFFFC000"/>
        <bgColor indexed="64"/>
      </patternFill>
    </fill>
    <fill>
      <patternFill patternType="solid">
        <fgColor theme="9"/>
        <bgColor indexed="64"/>
      </patternFill>
    </fill>
  </fills>
  <borders count="1">
    <border>
      <left/>
      <right/>
      <top/>
      <bottom/>
      <diagonal/>
    </border>
  </borders>
  <cellStyleXfs count="1102">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cellStyleXfs>
  <cellXfs count="10">
    <xf numFmtId="0" fontId="0" fillId="0" borderId="0" xfId="0"/>
    <xf numFmtId="0" fontId="0" fillId="2" borderId="0" xfId="0" applyFill="1"/>
    <xf numFmtId="0" fontId="0" fillId="3" borderId="0" xfId="0" applyFill="1"/>
    <xf numFmtId="0" fontId="0" fillId="4" borderId="0" xfId="0" applyFill="1"/>
    <xf numFmtId="0" fontId="0" fillId="0" borderId="0" xfId="0" quotePrefix="1"/>
    <xf numFmtId="0" fontId="1" fillId="0" borderId="0" xfId="1101"/>
    <xf numFmtId="0" fontId="0" fillId="5" borderId="0" xfId="0" applyFill="1"/>
    <xf numFmtId="0" fontId="0" fillId="6" borderId="0" xfId="0" applyFill="1"/>
    <xf numFmtId="9" fontId="0" fillId="0" borderId="0" xfId="0" applyNumberFormat="1"/>
    <xf numFmtId="0" fontId="0" fillId="0" borderId="0" xfId="0" applyNumberFormat="1"/>
  </cellXfs>
  <cellStyles count="110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cellStyle name="Normal" xfId="0" builtinId="0"/>
  </cellStyles>
  <dxfs count="4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rgb="FFFFFF00"/>
        </patternFill>
      </fill>
    </dxf>
    <dxf>
      <numFmt numFmtId="0" formatCode="General"/>
    </dxf>
    <dxf>
      <numFmt numFmtId="0" formatCode="General"/>
    </dxf>
    <dxf>
      <numFmt numFmtId="0" formatCode="General"/>
    </dxf>
  </dxfs>
  <tableStyles count="0" defaultTableStyle="TableStyleMedium9" defaultPivotStyle="PivotStyleMedium4"/>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9D8B0A-6470-438F-AB14-D21C3036E020}" name="NetworkKit" displayName="NetworkKit" ref="A1:B7" totalsRowShown="0">
  <autoFilter ref="A1:B7" xr:uid="{689D8B0A-6470-438F-AB14-D21C3036E020}"/>
  <tableColumns count="2">
    <tableColumn id="1" xr3:uid="{1267F78D-EA2A-497A-80C4-87955E7464F8}" name="Description"/>
    <tableColumn id="2" xr3:uid="{630A61BA-D40F-4685-9A94-F4EC5BB27C48}" name="Qty"/>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13FCB6-7F0F-47D2-B193-86F36963A2F3}" name="LightSpec" displayName="LightSpec" ref="A1:AA203" totalsRowShown="0">
  <autoFilter ref="A1:AA203" xr:uid="{8313FCB6-7F0F-47D2-B193-86F36963A2F3}">
    <filterColumn colId="5">
      <filters>
        <filter val="D20O1"/>
        <filter val="D20O2"/>
        <filter val="D21O1"/>
        <filter val="D21O2"/>
        <filter val="D21S1"/>
        <filter val="D21S3"/>
        <filter val="D22O1"/>
        <filter val="D22O2"/>
        <filter val="D23O1"/>
        <filter val="D23O2"/>
        <filter val="D24O1"/>
        <filter val="D24O2"/>
        <filter val="D25O1"/>
        <filter val="D25O2"/>
        <filter val="D25S1"/>
        <filter val="D26O1"/>
        <filter val="D26S1"/>
        <filter val="D27O1"/>
        <filter val="D27O2"/>
        <filter val="D27S1"/>
        <filter val="D28O1"/>
        <filter val="D29O1"/>
        <filter val="D2O1"/>
        <filter val="D2O2"/>
        <filter val="D2S1"/>
        <filter val="D2S3"/>
      </filters>
    </filterColumn>
  </autoFilter>
  <tableColumns count="27">
    <tableColumn id="1" xr3:uid="{D74ADDD4-26AF-449E-91CB-ACB2E8460942}" name="Code" dataDxfId="42">
      <calculatedColumnFormula>LightSpec[[#This Row],[From]]&amp;"-"&amp;LightSpec[[#This Row],[Room]]&amp;"-"&amp;LightSpec[[#This Row],[DiagNo]]</calculatedColumnFormula>
    </tableColumn>
    <tableColumn id="2" xr3:uid="{52EA274B-2989-4AF7-BEDE-11011AE37C6F}" name="Location" dataDxfId="41">
      <calculatedColumnFormula>_xlfn.XLOOKUP(LightSpec[[#This Row],[Room]],Rooms[Code],Rooms[Room])</calculatedColumnFormula>
    </tableColumn>
    <tableColumn id="3" xr3:uid="{CEFDD08E-CF03-4AE5-85AA-0510AE0E5435}" name="On Plan" dataDxfId="40">
      <calculatedColumnFormula>_xlfn.XLOOKUP(LightSpec[[#This Row],[Room]],Rooms[Code],Rooms[Floor])</calculatedColumnFormula>
    </tableColumn>
    <tableColumn id="4" xr3:uid="{0AA0BD23-47E7-4B69-AF90-EAFEF7B7291D}" name="Room"/>
    <tableColumn id="5" xr3:uid="{33F9A766-36E8-4A87-AE42-21589B5D131B}" name="DiagNo"/>
    <tableColumn id="18" xr3:uid="{7D7E4C9E-EF86-41CE-86C2-82F8923C1620}" name="From" dataDxfId="39"/>
    <tableColumn id="16" xr3:uid="{9E46B693-9B01-4B44-A02E-3522AF2E7970}" name="SwitchCount"/>
    <tableColumn id="23" xr3:uid="{26451D70-391E-4059-85ED-CB989EE0F242}" name="startinput"/>
    <tableColumn id="6" xr3:uid="{18E7F6F7-543F-48BD-9969-1E80418DB057}" name="Fitting description"/>
    <tableColumn id="7" xr3:uid="{E5A138D1-E48E-48CB-93EA-42962A878605}" name="Wattage / unit"/>
    <tableColumn id="8" xr3:uid="{95E5E112-66CF-4D3B-A18B-0A043421A31B}" name="No. of fittings"/>
    <tableColumn id="9" xr3:uid="{34954E84-188E-4B95-A19C-41B7923A0A07}" name="Loading type"/>
    <tableColumn id="10" xr3:uid="{6BE08B84-4D6B-486F-8211-291295262E7F}" name="type"/>
    <tableColumn id="15" xr3:uid="{46DE93ED-30FF-4714-9D8A-0F138FBFD210}" name="Smart"/>
    <tableColumn id="11" xr3:uid="{FA88D9AA-F195-436F-B6BA-A2FD41B657A2}" name="Total load"/>
    <tableColumn id="12" xr3:uid="{55576C63-9B17-4526-BE00-F859BE671662}" name="driver or transformer"/>
    <tableColumn id="13" xr3:uid="{038F9245-8FFA-447E-A72A-99F1348E23B6}" name="On PIR"/>
    <tableColumn id="14" xr3:uid="{2E648602-F3BE-4C0D-B451-4700C5ABE965}" name="Description of circuit"/>
    <tableColumn id="17" xr3:uid="{D605E625-4993-4257-B402-EC8D140524C6}" name="StartPos" dataDxfId="38">
      <calculatedColumnFormula>IFERROR(VALUE(RIGHT(LightSpec[[#This Row],[From]],1)), 0)</calculatedColumnFormula>
    </tableColumn>
    <tableColumn id="19" xr3:uid="{6E3CE4BC-F318-4D04-82C9-4A61B6B00D73}" name="S1" dataDxfId="37">
      <calculatedColumnFormula>IF(
  AND(
    OR(LEFT(LightSpec[[#This Row],[DiagNo]],1)="R", LEFT(LightSpec[[#This Row],[DiagNo]],1)="S"),
    1 &gt;= LightSpec[[#This Row],[StartPos]],
    1 &lt; LightSpec[[#This Row],[StartPos]] + LightSpec[[#This Row],[SwitchCount]]
  ),
  LightSpec[[#This Row],[Location]] &amp; " (" &amp; IF(LEFT(LightSpec[[#This Row],[DiagNo]],1)="R","PIR ","Switch ") &amp;LightSpec[[#This Row],[DiagNo]] &amp; ")",
  ""
)</calculatedColumnFormula>
    </tableColumn>
    <tableColumn id="20" xr3:uid="{A6662AB4-5C5B-421D-AF9B-5FA04E8E3FDD}" name="S2" dataDxfId="36">
      <calculatedColumnFormula>IF(
  AND(
    OR(LEFT(LightSpec[[#This Row],[DiagNo]],1)="R", LEFT(LightSpec[[#This Row],[DiagNo]],1)="S"),
    2 &gt;= LightSpec[[#This Row],[StartPos]],
    2 &lt; LightSpec[[#This Row],[StartPos]] + LightSpec[[#This Row],[SwitchCount]]
  ),
  LightSpec[[#This Row],[Location]] &amp; " (" &amp; IF(LEFT(LightSpec[[#This Row],[DiagNo]],1)="R","PIR ","Switch ") &amp;LightSpec[[#This Row],[DiagNo]] &amp; ")",
  ""
)</calculatedColumnFormula>
    </tableColumn>
    <tableColumn id="21" xr3:uid="{3B427F2A-1FD1-47DC-A85F-1237FD1DC65A}" name="S3" dataDxfId="35">
      <calculatedColumnFormula>IF(
  AND(
    OR(LEFT(LightSpec[[#This Row],[DiagNo]],1)="R", LEFT(LightSpec[[#This Row],[DiagNo]],1)="S"),
    3 &gt;= LightSpec[[#This Row],[StartPos]],
    3 &lt; LightSpec[[#This Row],[StartPos]] + LightSpec[[#This Row],[SwitchCount]]
  ),
  LightSpec[[#This Row],[Location]] &amp; " (" &amp; IF(LEFT(LightSpec[[#This Row],[DiagNo]],1)="R","PIR ","Switch ") &amp;LightSpec[[#This Row],[DiagNo]] &amp; ")",
  ""
)</calculatedColumnFormula>
    </tableColumn>
    <tableColumn id="22" xr3:uid="{9720231F-48CF-4597-9793-78F0DC39CAEC}" name="S4" dataDxfId="34">
      <calculatedColumnFormula>IF(
  AND(
    OR(LEFT(LightSpec[[#This Row],[DiagNo]],1)="R", LEFT(LightSpec[[#This Row],[DiagNo]],1)="S"),
    4 &gt;= LightSpec[[#This Row],[StartPos]],
    4 &lt; LightSpec[[#This Row],[StartPos]] + LightSpec[[#This Row],[SwitchCount]]
  ),
  LightSpec[[#This Row],[Location]] &amp; " (" &amp; IF(LEFT(LightSpec[[#This Row],[DiagNo]],1)="R","PIR ","Switch ") &amp;LightSpec[[#This Row],[DiagNo]] &amp; ")",
  ""
)</calculatedColumnFormula>
    </tableColumn>
    <tableColumn id="24" xr3:uid="{5085E8C1-0BD3-461B-AF21-26E110C1B0EE}" name="CS1" dataDxfId="33">
      <calculatedColumnFormula>IF(
  AND(
    OR(LEFT(LightSpec[[#This Row],[DiagNo]],1)="R", LEFT(LightSpec[[#This Row],[DiagNo]],1)="S"),
    1 &gt;= LightSpec[[#This Row],[StartPos]],
    1 &lt; LightSpec[[#This Row],[StartPos]] + LightSpec[[#This Row],[SwitchCount]]
  ),
  LightSpec[[#This Row],[Code]] &amp; " (" &amp; IF(LEFT(LightSpec[[#This Row],[DiagNo]],1)="R","PIR ","Switch ") &amp;LightSpec[[#This Row],[DiagNo]] &amp; ")",
  ""
)</calculatedColumnFormula>
    </tableColumn>
    <tableColumn id="25" xr3:uid="{3A8EAF78-C9C5-420B-9B56-409FC99B97E6}" name="CS2" dataDxfId="32">
      <calculatedColumnFormula>IF(
  AND(
    OR(LEFT(LightSpec[[#This Row],[DiagNo]],1)="R", LEFT(LightSpec[[#This Row],[DiagNo]],1)="S"),
    2 &gt;= LightSpec[[#This Row],[StartPos]],
    2 &lt; LightSpec[[#This Row],[StartPos]] + LightSpec[[#This Row],[SwitchCount]]
  ),
  LightSpec[[#This Row],[Code]] &amp; " (" &amp; IF(LEFT(LightSpec[[#This Row],[DiagNo]],1)="R","PIR ","Switch ") &amp;LightSpec[[#This Row],[DiagNo]] &amp; ")",
  ""
)</calculatedColumnFormula>
    </tableColumn>
    <tableColumn id="26" xr3:uid="{04329EB5-C07C-4ADA-8C7F-57766E9C43D9}" name="CS3" dataDxfId="31">
      <calculatedColumnFormula>IF(
  AND(
    OR(LEFT(LightSpec[[#This Row],[DiagNo]],1)="R", LEFT(LightSpec[[#This Row],[DiagNo]],1)="S"),
    3 &gt;= LightSpec[[#This Row],[StartPos]],
    3 &lt; LightSpec[[#This Row],[StartPos]] + LightSpec[[#This Row],[SwitchCount]]
  ),
  LightSpec[[#This Row],[Code]] &amp; " (" &amp; IF(LEFT(LightSpec[[#This Row],[DiagNo]],1)="R","PIR ","Switch ") &amp;LightSpec[[#This Row],[DiagNo]] &amp; ")",
  ""
)</calculatedColumnFormula>
    </tableColumn>
    <tableColumn id="27" xr3:uid="{43A58DD8-4734-4CB5-B376-E71E65E1E178}" name="CS4" dataDxfId="30">
      <calculatedColumnFormula>IF(
  AND(
    OR(LEFT(LightSpec[[#This Row],[DiagNo]],1)="R", LEFT(LightSpec[[#This Row],[DiagNo]],1)="S"),
    4 &gt;= LightSpec[[#This Row],[StartPos]],
    4 &lt; LightSpec[[#This Row],[StartPos]] + LightSpec[[#This Row],[SwitchCount]]
  ),
  LightSpec[[#This Row],[Code]] &amp; " (" &amp; IF(LEFT(LightSpec[[#This Row],[DiagNo]],1)="R","PIR ","Switch ") &amp;LightSpec[[#This Row],[DiagNo]] &amp; ")",
  ""
)</calculatedColumnFormula>
    </tableColumn>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D608D-D80E-4586-BBC8-6F06B8F81180}" name="CircuitTypes" displayName="CircuitTypes" ref="A1:B9" totalsRowShown="0">
  <autoFilter ref="A1:B9" xr:uid="{368D608D-D80E-4586-BBC8-6F06B8F81180}"/>
  <tableColumns count="2">
    <tableColumn id="1" xr3:uid="{708FD108-3B75-4298-AB68-062FA3F198BD}" name="Type"/>
    <tableColumn id="2" xr3:uid="{6721F7D6-9AC6-49B5-9CE4-4B3D07670D24}" name="Code"/>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32E757C-F6FA-4B3E-8935-3DEBD6253934}" name="Shelly" displayName="Shelly" ref="A1:N43" totalsRowShown="0">
  <autoFilter ref="A1:N43" xr:uid="{632E757C-F6FA-4B3E-8935-3DEBD6253934}"/>
  <tableColumns count="14">
    <tableColumn id="1" xr3:uid="{0C0D1F66-6D36-4C51-8E1A-F59A7DC94A36}" name="Code"/>
    <tableColumn id="12" xr3:uid="{B57355D4-CF5F-4F6B-82FC-68CCF43CE8B7}" name="Type" dataDxfId="29">
      <calculatedColumnFormula>_xlfn.XLOOKUP(MID(Shelly[[#This Row],[Code]],1,1), Device[Code],Device[Device])</calculatedColumnFormula>
    </tableColumn>
    <tableColumn id="13" xr3:uid="{36594F9A-0A0A-4DE5-BDB7-8627F5F3CB8B}" name="No" dataDxfId="28">
      <calculatedColumnFormula>MID(Shelly[[#This Row],[Code]],2,3)</calculatedColumnFormula>
    </tableColumn>
    <tableColumn id="2" xr3:uid="{BEF25D0A-6A94-42D3-9280-E679B966EB17}" name="Mac addr"/>
    <tableColumn id="3" xr3:uid="{67590653-1156-492E-A476-8635AEC913BC}" name="IP addr" dataDxfId="27">
      <calculatedColumnFormula>subnetStart&amp;_xlfn.XLOOKUP(Shelly[[#This Row],[Type]],IPConfig[Device],IPConfig[Start])+Shelly[[#This Row],[No]]-1</calculatedColumnFormula>
    </tableColumn>
    <tableColumn id="4" xr3:uid="{B276124A-822E-4C9C-91AB-064C44A13EA0}" name="input 0" dataDxfId="26">
      <calculatedColumnFormula array="1">_xlfn.LET(
   _xlpm.group, Shelly[[#This Row],[Code]],
   _xlpm.matches, _xlfn._xlws.FILTER(LightSpec[S1], LEFT(LightSpec[From], LEN(_xlpm.group)) = _xlpm.group),
   IFERROR(
     INDEX(_xlpm.matches, MATCH(TRUE, _xlpm.matches&lt;&gt;"", 0)),
     ""
   )
)</calculatedColumnFormula>
    </tableColumn>
    <tableColumn id="5" xr3:uid="{28A28A81-3A55-43F8-8921-303E1ABF5622}" name="input 1" dataDxfId="25">
      <calculatedColumnFormula array="1">_xlfn.LET(
   _xlpm.group, Shelly[[#This Row],[Code]],
   _xlpm.matches, _xlfn._xlws.FILTER(LightSpec[S2], LEFT(LightSpec[From], LEN(_xlpm.group)) = _xlpm.group),
   IFERROR(
     INDEX(_xlpm.matches, MATCH(TRUE, _xlpm.matches&lt;&gt;"", 0)),
     ""
   )
)</calculatedColumnFormula>
    </tableColumn>
    <tableColumn id="6" xr3:uid="{9ABC27D2-2B60-44DD-B845-2B495965C995}" name="input 2" dataDxfId="24">
      <calculatedColumnFormula array="1">_xlfn.LET(
   _xlpm.group, Shelly[[#This Row],[Code]],
   _xlpm.matches, _xlfn._xlws.FILTER(LightSpec[S3], LEFT(LightSpec[From], LEN(_xlpm.group)) = _xlpm.group),
   IFERROR(
     INDEX(_xlpm.matches, MATCH(TRUE, _xlpm.matches&lt;&gt;"", 0)),
     ""
   )
)</calculatedColumnFormula>
    </tableColumn>
    <tableColumn id="7" xr3:uid="{1B38D2EA-1EDD-48BD-A306-2BD82D5801AD}" name="input 3" dataDxfId="23">
      <calculatedColumnFormula array="1">_xlfn.LET(
   _xlpm.group, Shelly[[#This Row],[Code]],
   _xlpm.matches, _xlfn._xlws.FILTER(LightSpec[S4], LEFT(LightSpec[From], LEN(_xlpm.group)) = _xlpm.group),
   IFERROR(
     INDEX(_xlpm.matches, MATCH(TRUE, _xlpm.matches&lt;&gt;"", 0)),
     ""
   )
)</calculatedColumnFormula>
    </tableColumn>
    <tableColumn id="8" xr3:uid="{44C22BD3-515C-4E23-BDBD-4A4B5FC28EEE}" name="O1" dataDxfId="22">
      <calculatedColumnFormula array="1">_xlfn.XLOOKUP(_xlfn.XLOOKUP(Shelly[[#This Row],[Code]]&amp; Shelly[[#Headers],[O1]], LightSpec[From],LightSpec[Room], "No room"), Rooms[Code],Rooms[Room], "Empty") &amp; _xlfn.XLOOKUP(Shelly[[#This Row],[Code]]&amp; Shelly[[#Headers],[O1]], LightSpec[From], " (" &amp;LightSpec[DiagNo] &amp; ")", "")</calculatedColumnFormula>
    </tableColumn>
    <tableColumn id="9" xr3:uid="{02F3C494-7B2C-45F3-A3FE-637F0EB0F28C}" name="O2" dataDxfId="21">
      <calculatedColumnFormula array="1">_xlfn.XLOOKUP(_xlfn.XLOOKUP(Shelly[[#This Row],[Code]]&amp; Shelly[[#Headers],[O2]], LightSpec[From],LightSpec[Room], "No room"), Rooms[Code],Rooms[Room], "Empty") &amp; _xlfn.XLOOKUP(Shelly[[#This Row],[Code]]&amp; Shelly[[#Headers],[O2]], LightSpec[From], " (" &amp;LightSpec[DiagNo] &amp; ")", "")</calculatedColumnFormula>
    </tableColumn>
    <tableColumn id="10" xr3:uid="{D9989C6A-37B6-4174-BCFE-4B3CD0CF5E90}" name="O3" dataDxfId="20">
      <calculatedColumnFormula array="1">IF(LEFT(Shelly[[#This Row],[Code]])="D", "NA", _xlfn.XLOOKUP(_xlfn.XLOOKUP(Shelly[[#This Row],[Code]]&amp; Shelly[[#Headers],[O3]], LightSpec[From],LightSpec[Room], "No room"), Rooms[Code],Rooms[Room], "Empty") &amp; _xlfn.XLOOKUP(Shelly[[#This Row],[Code]]&amp; Shelly[[#Headers],[O3]], LightSpec[From]," (" &amp; LightSpec[DiagNo] &amp; ")", ""))</calculatedColumnFormula>
    </tableColumn>
    <tableColumn id="11" xr3:uid="{3F8E92E2-4CFC-4C1E-A7B3-4773FB019CC1}" name="O4" dataDxfId="19">
      <calculatedColumnFormula array="1">IF(LEFT(Shelly[[#This Row],[Code]])="D", "NA", _xlfn.XLOOKUP(_xlfn.XLOOKUP(Shelly[[#This Row],[Code]]&amp; Shelly[[#Headers],[O4]], LightSpec[From],LightSpec[Room], "No room"), Rooms[Code],Rooms[Room], "Empty") &amp; _xlfn.XLOOKUP(Shelly[[#This Row],[Code]]&amp; Shelly[[#Headers],[O4]], LightSpec[From]," (" &amp; LightSpec[DiagNo] &amp; ")", ""))</calculatedColumnFormula>
    </tableColumn>
    <tableColumn id="14" xr3:uid="{7DFB0785-7A4E-448C-B571-F020A6C40CA8}" name="Desc" dataDxfId="18"/>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A12058-EA6D-46DA-AC69-C37B27FAF431}" name="Shelly12" displayName="Shelly12" ref="A1:J37" totalsRowShown="0">
  <autoFilter ref="A1:J37" xr:uid="{632E757C-F6FA-4B3E-8935-3DEBD6253934}"/>
  <tableColumns count="10">
    <tableColumn id="1" xr3:uid="{3BB814C7-D340-4E51-BEEA-0FD06F3EE662}" name="Code"/>
    <tableColumn id="12" xr3:uid="{05C17303-7EB9-4EB2-A319-12BB06B6551B}" name="Type" dataDxfId="17">
      <calculatedColumnFormula>IF(MID(Shelly12[[#This Row],[Code]],1,1)="P", "4PM", "D2PM")</calculatedColumnFormula>
    </tableColumn>
    <tableColumn id="4" xr3:uid="{9F557383-B55B-4FBB-B26B-A424A13AAFD5}" name="S1 or SW1" dataDxfId="16">
      <calculatedColumnFormula array="1">_xlfn.LET(
   _xlpm.group, Shelly12[[#This Row],[Code]],
   _xlpm.matches, _xlfn._xlws.FILTER(LightSpec[CS1], LEFT(LightSpec[From], LEN(_xlpm.group)) = _xlpm.group),
   IFERROR(
     INDEX(_xlpm.matches, MATCH(TRUE, _xlpm.matches&lt;&gt;"", 0)),
     ""
   )
)</calculatedColumnFormula>
    </tableColumn>
    <tableColumn id="5" xr3:uid="{70A9B771-480E-42ED-BFD0-608AB40B1BA5}" name="S2 or SW2" dataDxfId="15">
      <calculatedColumnFormula array="1">_xlfn.LET(
   _xlpm.group, Shelly12[[#This Row],[Code]],
   _xlpm.matches, _xlfn._xlws.FILTER(LightSpec[CS2], LEFT(LightSpec[From], LEN(_xlpm.group)) = _xlpm.group),
   IFERROR(
     INDEX(_xlpm.matches, MATCH(TRUE, _xlpm.matches&lt;&gt;"", 0)),
     ""
   )
)</calculatedColumnFormula>
    </tableColumn>
    <tableColumn id="6" xr3:uid="{0F6779A8-189E-4EAA-8CEF-26A4BFC2B4BE}" name="S3 or SW3" dataDxfId="14">
      <calculatedColumnFormula array="1">_xlfn.LET(
   _xlpm.group, Shelly12[[#This Row],[Code]],
   _xlpm.matches, _xlfn._xlws.FILTER(LightSpec[CS3], LEFT(LightSpec[From], LEN(_xlpm.group)) = _xlpm.group),
   IFERROR(
     INDEX(_xlpm.matches, MATCH(TRUE, _xlpm.matches&lt;&gt;"", 0)),
     ""
   )
)</calculatedColumnFormula>
    </tableColumn>
    <tableColumn id="7" xr3:uid="{1223A3A5-098D-46DA-B139-E5B6429692C5}" name="S4 or SW4" dataDxfId="13">
      <calculatedColumnFormula array="1">_xlfn.LET(
   _xlpm.group, Shelly12[[#This Row],[Code]],
   _xlpm.matches, _xlfn._xlws.FILTER(LightSpec[CS4], LEFT(LightSpec[From], LEN(_xlpm.group)) = _xlpm.group),
   IFERROR(
     INDEX(_xlpm.matches, MATCH(TRUE, _xlpm.matches&lt;&gt;"", 0)),
     ""
   )
)</calculatedColumnFormula>
    </tableColumn>
    <tableColumn id="8" xr3:uid="{090B881F-2ABE-4A6F-ABF4-80C196BAD77B}" name="O1" dataDxfId="12">
      <calculatedColumnFormula>_xlfn.XLOOKUP(Shelly12[[#This Row],[Code]]&amp; "O1", LightSpec[From],LightSpec[Code], "EMPTY")</calculatedColumnFormula>
    </tableColumn>
    <tableColumn id="9" xr3:uid="{B88C750A-7318-466B-B06F-6EADAADCB822}" name="O2" dataDxfId="11">
      <calculatedColumnFormula>_xlfn.XLOOKUP(Shelly12[[#This Row],[Code]]&amp; "O2", LightSpec[From],LightSpec[Code], "EMPTY")</calculatedColumnFormula>
    </tableColumn>
    <tableColumn id="10" xr3:uid="{1FA3F95A-4408-47D0-88CE-0F7321D1F0AB}" name="O3" dataDxfId="10">
      <calculatedColumnFormula>IF(LEFT(Shelly12[[#This Row],[Code]])="D", "NA", _xlfn.XLOOKUP(Shelly12[[#This Row],[Code]]&amp; "O3", LightSpec[From],LightSpec[Code], "EMPTY"))</calculatedColumnFormula>
    </tableColumn>
    <tableColumn id="11" xr3:uid="{E6C0334D-F425-4931-802A-1DD6E7DE11C5}" name="O4" dataDxfId="9">
      <calculatedColumnFormula>IF(LEFT(Shelly12[[#This Row],[Code]])="D", "NA", _xlfn.XLOOKUP(Shelly12[[#This Row],[Code]]&amp; "O4", LightSpec[From],LightSpec[Code], "EMPTY"))</calculatedColumnFormula>
    </tableColumn>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A59DA5-7029-42D4-A08E-2FE79AB0AA0D}" name="Table2" displayName="Table2" ref="A1:L398" totalsRowShown="0">
  <autoFilter ref="A1:L398" xr:uid="{BEA59DA5-7029-42D4-A08E-2FE79AB0AA0D}">
    <filterColumn colId="7">
      <filters>
        <filter val="Garden (C1)"/>
        <filter val="Garden (C2)"/>
      </filters>
    </filterColumn>
  </autoFilter>
  <tableColumns count="12">
    <tableColumn id="1" xr3:uid="{9AD75D2B-6EB2-4FE9-ABEC-A3D47AA92C0D}" name="lookup Room"/>
    <tableColumn id="2" xr3:uid="{56AC9673-AD2C-4058-B28A-145F2F3F1213}" name="lookup Device"/>
    <tableColumn id="7" xr3:uid="{E393F2DF-77CC-4350-BB8F-BC1F15B155FC}" name="start" dataDxfId="8">
      <calculatedColumnFormula array="1">_xlfn.XLOOKUP(1,(LightSpec[Location]=Table2[[#This Row],[lookup Room]]) * (LightSpec[DiagNo]=Table2[[#This Row],[lookup Device]]), LightSpec[startinput])</calculatedColumnFormula>
    </tableColumn>
    <tableColumn id="3" xr3:uid="{AF27997C-363A-48C4-B07C-36FBB8253D24}" name="Trigger"/>
    <tableColumn id="4" xr3:uid="{CEF6CA50-B7D9-4D2D-83E3-9743E522D4D3}" name="trigger_event"/>
    <tableColumn id="5" xr3:uid="{FB455A92-6BFA-4CD1-A617-15992E655AB9}" name="trigger_device" dataDxfId="7">
      <calculatedColumnFormula array="1">_xlfn.LET(
  _xlpm.txt, _xlfn.XLOOKUP(1,(LightSpec[Location]=Table2[[#This Row],[lookup Room]]) * (LightSpec[DiagNo]=Table2[[#This Row],[lookup Device]]),LightSpec[From]),
  _xlpm.n, LEN(_xlpm.txt),
  _xlpm.pos, MATCH(FALSE, ISNUMBER(MID(_xlpm.txt, ROW(INDIRECT("2:" &amp; _xlpm.n)), 1)*1), 0),
  LEFT(_xlpm.txt, _xlpm.pos)
)</calculatedColumnFormula>
    </tableColumn>
    <tableColumn id="6" xr3:uid="{4BD12DA4-A050-40B5-9C17-B8F069EE8B05}" name="input" dataDxfId="6">
      <calculatedColumnFormula>_xlfn.XLOOKUP(Table2[[#This Row],[Trigger]],SwitchButtons[switch],SwitchButtons[input])+Table2[[#This Row],[start]]</calculatedColumnFormula>
    </tableColumn>
    <tableColumn id="9" xr3:uid="{F26FF3DE-D392-4E9F-83C6-43F73BD62F47}" name="set1"/>
    <tableColumn id="10" xr3:uid="{20EF778F-ECB3-4159-808E-4C276D480DE4}" name="set1_device" dataDxfId="5">
      <calculatedColumnFormula>_xlfn.XLOOKUP(Table2[[#This Row],[set1]],circuitoutputs[circuit],circuitoutputs[device])</calculatedColumnFormula>
    </tableColumn>
    <tableColumn id="11" xr3:uid="{D92B0F03-8683-4FD4-BBC9-0B036EFFC133}" name="set1_output" dataDxfId="4">
      <calculatedColumnFormula>_xlfn.XLOOKUP(Table2[[#This Row],[set1]],circuitoutputs[circuit],circuitoutputs[output])</calculatedColumnFormula>
    </tableColumn>
    <tableColumn id="12" xr3:uid="{0E6D6891-1F2E-4355-8CC3-008DCBD11CA5}" name="set1_brightness"/>
    <tableColumn id="8" xr3:uid="{85172D8F-4CB1-4229-A438-521D881E2C6A}" name="Notes" dataDxfId="3"/>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39458F-F1EC-47AC-A47A-8CC1260CD68F}" name="Device" displayName="Device" ref="A1:B4" totalsRowShown="0">
  <autoFilter ref="A1:B4" xr:uid="{B939458F-F1EC-47AC-A47A-8CC1260CD68F}"/>
  <tableColumns count="2">
    <tableColumn id="1" xr3:uid="{B48E08C3-0BF3-4F1D-95C7-62FF989AF03D}" name="Device"/>
    <tableColumn id="2" xr3:uid="{A3801DC5-833C-4C6B-B9C5-F6D56835AAD6}" name="Code"/>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E2B428C-48FB-4D3E-AB34-A174E9B483BA}" name="SwitchButtons" displayName="SwitchButtons" ref="F1:G9" totalsRowShown="0">
  <autoFilter ref="F1:G9" xr:uid="{3E2B428C-48FB-4D3E-AB34-A174E9B483BA}"/>
  <tableColumns count="2">
    <tableColumn id="1" xr3:uid="{2D0A8FD7-DC7B-4663-AF78-1DEBA9C6C18C}" name="switch"/>
    <tableColumn id="2" xr3:uid="{B608A267-E7CC-4304-93AA-5CEA09D0450B}" name="input"/>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93022D-72F4-42B2-B4B1-EACD86721F87}" name="inputEvents" displayName="inputEvents" ref="D1:D7" totalsRowShown="0">
  <autoFilter ref="D1:D7" xr:uid="{5293022D-72F4-42B2-B4B1-EACD86721F87}"/>
  <tableColumns count="1">
    <tableColumn id="1" xr3:uid="{419964A2-0C63-4E3E-A329-5E129258D690}" name="Events"/>
  </tableColumns>
  <tableStyleInfo name="TableStyleMedium1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0FEC854-0DEE-4E7A-8D8C-E4485101668F}" name="Table7" displayName="Table7" ref="I1:I19" totalsRowShown="0">
  <autoFilter ref="I1:I19" xr:uid="{80FEC854-0DEE-4E7A-8D8C-E4485101668F}"/>
  <tableColumns count="1">
    <tableColumn id="1" xr3:uid="{C9A1E727-8623-4142-AE16-D8699C8F96BF}" name="Brightness"/>
  </tableColumns>
  <tableStyleInfo name="TableStyleMedium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72F7612-1EC1-4570-8F49-AFC3A12FE140}" name="circuitoutputs" displayName="circuitoutputs" ref="K1:M78" totalsRowShown="0">
  <autoFilter ref="K1:M78" xr:uid="{672F7612-1EC1-4570-8F49-AFC3A12FE140}"/>
  <sortState xmlns:xlrd2="http://schemas.microsoft.com/office/spreadsheetml/2017/richdata2" ref="K2:M77">
    <sortCondition ref="K1:K77"/>
  </sortState>
  <tableColumns count="3">
    <tableColumn id="1" xr3:uid="{48335320-C8F6-42B5-A29C-D240A599882B}" name="circuit"/>
    <tableColumn id="2" xr3:uid="{B8A47614-5B24-4F9D-BBAF-773D0248E04B}" name="device"/>
    <tableColumn id="3" xr3:uid="{948B0E43-3ED8-4273-9B72-4328C7149B8D}" name="output"/>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ABDCDAB-939B-4937-A918-F9F840E75416}" name="IPConfig" displayName="IPConfig" ref="A1:E9" totalsRowShown="0">
  <autoFilter ref="A1:E9" xr:uid="{4ABDCDAB-939B-4937-A918-F9F840E75416}"/>
  <tableColumns count="5">
    <tableColumn id="1" xr3:uid="{D85C7244-9E79-43DE-B77A-7B8DF63DE991}" name="Device"/>
    <tableColumn id="2" xr3:uid="{5534E196-4E76-4420-82D1-3025359EC286}" name="Start"/>
    <tableColumn id="3" xr3:uid="{33E1A706-C08C-4B49-9AB8-3EDB66702A7F}" name="Length"/>
    <tableColumn id="4" xr3:uid="{121016CB-7F17-40A7-9EF0-85C16044DABC}" name="From" dataDxfId="2">
      <calculatedColumnFormula>subnetStart&amp;IPConfig[[#This Row],[Start]]</calculatedColumnFormula>
    </tableColumn>
    <tableColumn id="5" xr3:uid="{0E14B759-2635-4066-A904-6861AEB274CE}" name="To" dataDxfId="1">
      <calculatedColumnFormula>subnetStart&amp;(IPConfig[[#This Row],[Start]]+IPConfig[[#This Row],[Length]]-1)</calculatedColumnFormula>
    </tableColumn>
  </tableColumns>
  <tableStyleInfo name="TableStyleMedium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84BD02-9894-457E-9E3C-7EAF45173FC4}" name="Rooms" displayName="Rooms" ref="A1:C21" totalsRowShown="0">
  <autoFilter ref="A1:C21" xr:uid="{9384BD02-9894-457E-9E3C-7EAF45173FC4}"/>
  <tableColumns count="3">
    <tableColumn id="1" xr3:uid="{C23F2EC2-D51E-4C77-9F3F-322A5C33E439}" name="Room"/>
    <tableColumn id="3" xr3:uid="{9C9FD436-6060-46CE-A295-9515BDD7757B}" name="Floor"/>
    <tableColumn id="2" xr3:uid="{3EBE07FE-391F-4F71-8349-104B55CD6E48}" name="Code"/>
  </tableColumns>
  <tableStyleInfo name="TableStyleMedium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0A478DC-6417-45AE-A27F-60D03A715526}" name="StateSets" displayName="StateSets" ref="A1:H7" totalsRowShown="0">
  <autoFilter ref="A1:H7" xr:uid="{80A478DC-6417-45AE-A27F-60D03A715526}"/>
  <tableColumns count="8">
    <tableColumn id="5" xr3:uid="{55C88ABB-27C4-46AF-A031-6DEECFE3897A}" name="Name"/>
    <tableColumn id="12" xr3:uid="{625F27B7-0443-4ACA-B628-61D17B3808C4}" name="type"/>
    <tableColumn id="6" xr3:uid="{8FF3B38D-928A-4AC2-8382-DC9623467DD3}" name="id"/>
    <tableColumn id="7" xr3:uid="{FEA588AB-1AC9-4FD6-AD23-EBC1122F4A1D}" name="on"/>
    <tableColumn id="8" xr3:uid="{267B77D7-F518-4304-9194-660D0C25C51C}" name="brightness"/>
    <tableColumn id="9" xr3:uid="{6F3B9475-A57D-4286-918F-D9433DB65CF8}" name="transition_duration"/>
    <tableColumn id="10" xr3:uid="{DEEC1C2A-8664-40E8-B521-4D52622F778A}" name="toggle_after"/>
    <tableColumn id="11" xr3:uid="{74E94DD4-F16D-4226-A7C1-6E75688D44DB}" name="url" dataDxfId="0">
      <calculatedColumnFormula>"http://[ip]/rpc/"&amp;StateSets[[#This Row],[type]]&amp;".Set?id="&amp;StateSets[[#This Row],[id]]&amp;"&amp;on="&amp;StateSets[[#This Row],[on]]&amp; IF(StateSets[[#This Row],[brightness]]&gt;0, "&amp;brightness="&amp;StateSets[[#This Row],[brightness]], "") &amp; IF(StateSets[[#This Row],[transition_duration]]&gt;0, "&amp;transition_duration=" &amp; StateSets[[#This Row],[transition_duration]], "") &amp; IF(StateSets[[#This Row],[toggle_after]]&gt;0, "&amp;toggle_after=" &amp; StateSets[[#This Row],[toggle_after]], "")</calculatedColumnFormula>
    </tableColumn>
  </tableColumns>
  <tableStyleInfo name="TableStyleMedium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DAF324F-E744-4010-A784-9B3493DFB7C3}" name="Table13" displayName="Table13" ref="A1:J2" totalsRowShown="0">
  <autoFilter ref="A1:J2" xr:uid="{ADAF324F-E744-4010-A784-9B3493DFB7C3}"/>
  <tableColumns count="10">
    <tableColumn id="1" xr3:uid="{980A2717-5AB9-4C19-912F-64C8F1ABE567}" name="Room"/>
    <tableColumn id="2" xr3:uid="{CAEE2815-0C97-49C0-933C-C57FC3D23FDB}" name="Trigger"/>
    <tableColumn id="3" xr3:uid="{325CB712-797E-49B3-8FEA-726FA96188F2}" name="SwitchButton"/>
    <tableColumn id="4" xr3:uid="{BB7AA1CD-E889-48D5-8598-EA16EEC3880C}" name="Event"/>
    <tableColumn id="5" xr3:uid="{58736054-1E8E-4774-87AA-F5DA819FA8BC}" name="cid">
      <calculatedColumnFormula>_xlfn.XLOOKUP(Table13[[#This Row],[SwitchButton]],SwitchButtons[switch],SwitchButtons[input])</calculatedColumnFormula>
    </tableColumn>
    <tableColumn id="6" xr3:uid="{36170564-82BC-4EEB-A7CC-89D3F8306F79}" name="IP addr"/>
    <tableColumn id="7" xr3:uid="{545F74D6-8FD4-4DE9-9026-8D6136005021}" name="Column4"/>
    <tableColumn id="8" xr3:uid="{39E212D7-FECA-4FFC-B2B4-55A1A71B8324}" name="Room1"/>
    <tableColumn id="9" xr3:uid="{F3EE438D-16F6-4CE4-BC43-97F9669C4AA2}" name="Circuit1"/>
    <tableColumn id="10" xr3:uid="{63B32851-E2F3-4A8E-8BB4-956E2CDFF082}" name="State1"/>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 Id="rId5" Type="http://schemas.openxmlformats.org/officeDocument/2006/relationships/table" Target="../tables/table11.xml"/><Relationship Id="rId4"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hyperlink" Target="http://192.168.33.1/rpc/Webhook.Create?cid=0&amp;enable=true&amp;event=%22switch.on%22&amp;urls=%5b%22http://10.33.55.167/rpc/Switch.Set?id=1&amp;on=true&amp;toggle_after=30%22%5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6F3D5-129B-4312-B00A-76FEEB6EBF86}">
  <dimension ref="A1:B7"/>
  <sheetViews>
    <sheetView workbookViewId="0">
      <selection activeCell="A4" sqref="A4"/>
    </sheetView>
  </sheetViews>
  <sheetFormatPr defaultRowHeight="15.75" x14ac:dyDescent="0.25"/>
  <cols>
    <col min="1" max="1" width="58.125" bestFit="1" customWidth="1"/>
    <col min="2" max="2" width="5.625" customWidth="1"/>
  </cols>
  <sheetData>
    <row r="1" spans="1:2" x14ac:dyDescent="0.25">
      <c r="A1" t="s">
        <v>110</v>
      </c>
      <c r="B1" t="s">
        <v>111</v>
      </c>
    </row>
    <row r="2" spans="1:2" x14ac:dyDescent="0.25">
      <c r="A2" t="s">
        <v>104</v>
      </c>
      <c r="B2">
        <v>1</v>
      </c>
    </row>
    <row r="3" spans="1:2" x14ac:dyDescent="0.25">
      <c r="A3" t="s">
        <v>105</v>
      </c>
      <c r="B3">
        <v>1</v>
      </c>
    </row>
    <row r="4" spans="1:2" x14ac:dyDescent="0.25">
      <c r="A4" t="s">
        <v>106</v>
      </c>
      <c r="B4">
        <v>1</v>
      </c>
    </row>
    <row r="5" spans="1:2" x14ac:dyDescent="0.25">
      <c r="A5" t="s">
        <v>107</v>
      </c>
      <c r="B5">
        <v>5</v>
      </c>
    </row>
    <row r="6" spans="1:2" x14ac:dyDescent="0.25">
      <c r="A6" t="s">
        <v>108</v>
      </c>
      <c r="B6">
        <v>2</v>
      </c>
    </row>
    <row r="7" spans="1:2" x14ac:dyDescent="0.25">
      <c r="A7" t="s">
        <v>109</v>
      </c>
      <c r="B7">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DC8E-6576-4660-BBAF-3F85C606917E}">
  <sheetPr>
    <pageSetUpPr fitToPage="1"/>
  </sheetPr>
  <dimension ref="A1:AA215"/>
  <sheetViews>
    <sheetView workbookViewId="0">
      <selection activeCell="F26" sqref="F26"/>
    </sheetView>
  </sheetViews>
  <sheetFormatPr defaultRowHeight="15.75" x14ac:dyDescent="0.25"/>
  <cols>
    <col min="1" max="1" width="14" bestFit="1" customWidth="1"/>
    <col min="2" max="2" width="15.375" bestFit="1" customWidth="1"/>
    <col min="3" max="3" width="9.625" bestFit="1" customWidth="1"/>
    <col min="4" max="4" width="7.75" bestFit="1" customWidth="1"/>
    <col min="5" max="5" width="9" bestFit="1" customWidth="1"/>
    <col min="6" max="6" width="7.25" bestFit="1" customWidth="1"/>
    <col min="7" max="8" width="7.25" customWidth="1"/>
    <col min="9" max="9" width="62.875" bestFit="1" customWidth="1"/>
    <col min="10" max="10" width="14.625" customWidth="1"/>
    <col min="11" max="11" width="13.875" customWidth="1"/>
    <col min="12" max="12" width="13.125" customWidth="1"/>
    <col min="13" max="13" width="7" bestFit="1" customWidth="1"/>
    <col min="14" max="14" width="10.875" bestFit="1" customWidth="1"/>
    <col min="15" max="15" width="11.375" bestFit="1" customWidth="1"/>
    <col min="16" max="16" width="19.5" customWidth="1"/>
    <col min="18" max="18" width="19.625" customWidth="1"/>
    <col min="20" max="23" width="21.875" bestFit="1" customWidth="1"/>
    <col min="24" max="27" width="24.625" bestFit="1" customWidth="1"/>
  </cols>
  <sheetData>
    <row r="1" spans="1:27" x14ac:dyDescent="0.25">
      <c r="A1" t="s">
        <v>174</v>
      </c>
      <c r="B1" t="s">
        <v>117</v>
      </c>
      <c r="C1" t="s">
        <v>116</v>
      </c>
      <c r="D1" t="s">
        <v>173</v>
      </c>
      <c r="E1" t="s">
        <v>186</v>
      </c>
      <c r="F1" t="s">
        <v>187</v>
      </c>
      <c r="G1" t="s">
        <v>485</v>
      </c>
      <c r="H1" t="s">
        <v>591</v>
      </c>
      <c r="I1" t="s">
        <v>8</v>
      </c>
      <c r="J1" t="s">
        <v>0</v>
      </c>
      <c r="K1" t="s">
        <v>1</v>
      </c>
      <c r="L1" t="s">
        <v>2</v>
      </c>
      <c r="M1" t="s">
        <v>114</v>
      </c>
      <c r="N1" t="s">
        <v>103</v>
      </c>
      <c r="O1" t="s">
        <v>280</v>
      </c>
      <c r="P1" t="s">
        <v>137</v>
      </c>
      <c r="Q1" t="s">
        <v>112</v>
      </c>
      <c r="R1" t="s">
        <v>138</v>
      </c>
      <c r="S1" t="s">
        <v>486</v>
      </c>
      <c r="T1" t="s">
        <v>192</v>
      </c>
      <c r="U1" t="s">
        <v>193</v>
      </c>
      <c r="V1" t="s">
        <v>194</v>
      </c>
      <c r="W1" t="s">
        <v>195</v>
      </c>
      <c r="X1" t="s">
        <v>639</v>
      </c>
      <c r="Y1" t="s">
        <v>640</v>
      </c>
      <c r="Z1" t="s">
        <v>641</v>
      </c>
      <c r="AA1" t="s">
        <v>642</v>
      </c>
    </row>
    <row r="2" spans="1:27" hidden="1" x14ac:dyDescent="0.25">
      <c r="A2" t="str">
        <f>LightSpec[[#This Row],[From]]&amp;"-"&amp;LightSpec[[#This Row],[Room]]&amp;"-"&amp;LightSpec[[#This Row],[DiagNo]]</f>
        <v>P1O1-GEG-CX</v>
      </c>
      <c r="B2" t="str">
        <f>_xlfn.XLOOKUP(LightSpec[[#This Row],[Room]],Rooms[Code],Rooms[Room])</f>
        <v>Garden</v>
      </c>
      <c r="C2" t="str">
        <f>_xlfn.XLOOKUP(LightSpec[[#This Row],[Room]],Rooms[Code],Rooms[Floor])</f>
        <v>Exterior</v>
      </c>
      <c r="D2" t="s">
        <v>155</v>
      </c>
      <c r="E2" t="s">
        <v>185</v>
      </c>
      <c r="F2" t="s">
        <v>209</v>
      </c>
      <c r="I2" t="s">
        <v>12</v>
      </c>
      <c r="J2" t="s">
        <v>10</v>
      </c>
      <c r="M2" t="s">
        <v>115</v>
      </c>
      <c r="N2" t="s">
        <v>139</v>
      </c>
      <c r="Q2" t="s">
        <v>189</v>
      </c>
      <c r="R2" t="s">
        <v>15</v>
      </c>
      <c r="S2">
        <f>IFERROR(VALUE(RIGHT(LightSpec[[#This Row],[From]],1)), 0)</f>
        <v>1</v>
      </c>
      <c r="T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 spans="1:27" hidden="1" x14ac:dyDescent="0.25">
      <c r="A3" t="str">
        <f>LightSpec[[#This Row],[From]]&amp;"-"&amp;LightSpec[[#This Row],[Room]]&amp;"-"&amp;LightSpec[[#This Row],[DiagNo]]</f>
        <v>P1O2-GEG-C1</v>
      </c>
      <c r="B3" t="str">
        <f>_xlfn.XLOOKUP(LightSpec[[#This Row],[Room]],Rooms[Code],Rooms[Room])</f>
        <v>Garden</v>
      </c>
      <c r="C3" t="str">
        <f>_xlfn.XLOOKUP(LightSpec[[#This Row],[Room]],Rooms[Code],Rooms[Floor])</f>
        <v>Exterior</v>
      </c>
      <c r="D3" t="s">
        <v>155</v>
      </c>
      <c r="E3" t="s">
        <v>151</v>
      </c>
      <c r="F3" t="s">
        <v>210</v>
      </c>
      <c r="I3" t="s">
        <v>26</v>
      </c>
      <c r="J3">
        <v>9</v>
      </c>
      <c r="K3">
        <v>1</v>
      </c>
      <c r="L3" t="s">
        <v>27</v>
      </c>
      <c r="M3" t="s">
        <v>115</v>
      </c>
      <c r="N3" t="s">
        <v>139</v>
      </c>
      <c r="O3">
        <v>9</v>
      </c>
      <c r="R3" t="s">
        <v>28</v>
      </c>
      <c r="S3">
        <f>IFERROR(VALUE(RIGHT(LightSpec[[#This Row],[From]],1)), 0)</f>
        <v>2</v>
      </c>
      <c r="T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4" spans="1:27" hidden="1" x14ac:dyDescent="0.25">
      <c r="A4" s="6" t="str">
        <f>LightSpec[[#This Row],[From]]&amp;"-"&amp;LightSpec[[#This Row],[Room]]&amp;"-"&amp;LightSpec[[#This Row],[DiagNo]]</f>
        <v>P1O3-GEG-C2</v>
      </c>
      <c r="B4" s="6" t="str">
        <f>_xlfn.XLOOKUP(LightSpec[[#This Row],[Room]],Rooms[Code],Rooms[Room])</f>
        <v>Garden</v>
      </c>
      <c r="C4" s="6" t="str">
        <f>_xlfn.XLOOKUP(LightSpec[[#This Row],[Room]],Rooms[Code],Rooms[Floor])</f>
        <v>Exterior</v>
      </c>
      <c r="D4" s="6" t="s">
        <v>155</v>
      </c>
      <c r="E4" s="6" t="s">
        <v>150</v>
      </c>
      <c r="F4" s="6" t="s">
        <v>211</v>
      </c>
      <c r="G4" s="6"/>
      <c r="H4" s="6"/>
      <c r="I4" s="6" t="s">
        <v>651</v>
      </c>
      <c r="J4" t="s">
        <v>14</v>
      </c>
      <c r="K4" t="s">
        <v>3</v>
      </c>
      <c r="L4" t="s">
        <v>13</v>
      </c>
      <c r="M4" t="s">
        <v>115</v>
      </c>
      <c r="N4" t="s">
        <v>139</v>
      </c>
      <c r="O4" t="s">
        <v>3</v>
      </c>
      <c r="P4" t="s">
        <v>113</v>
      </c>
      <c r="R4" t="s">
        <v>72</v>
      </c>
      <c r="S4">
        <f>IFERROR(VALUE(RIGHT(LightSpec[[#This Row],[From]],1)), 0)</f>
        <v>3</v>
      </c>
      <c r="T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 spans="1:27" hidden="1" x14ac:dyDescent="0.25">
      <c r="A5" s="6" t="str">
        <f>LightSpec[[#This Row],[From]]&amp;"-"&amp;LightSpec[[#This Row],[Room]]&amp;"-"&amp;LightSpec[[#This Row],[DiagNo]]</f>
        <v>P1O4-GEG-C3</v>
      </c>
      <c r="B5" s="6" t="str">
        <f>_xlfn.XLOOKUP(LightSpec[[#This Row],[Room]],Rooms[Code],Rooms[Room])</f>
        <v>Garden</v>
      </c>
      <c r="C5" s="6" t="str">
        <f>_xlfn.XLOOKUP(LightSpec[[#This Row],[Room]],Rooms[Code],Rooms[Floor])</f>
        <v>Exterior</v>
      </c>
      <c r="D5" s="6" t="s">
        <v>155</v>
      </c>
      <c r="E5" s="6" t="s">
        <v>149</v>
      </c>
      <c r="F5" s="6" t="s">
        <v>212</v>
      </c>
      <c r="G5" s="6"/>
      <c r="H5" s="6"/>
      <c r="I5" s="6" t="s">
        <v>655</v>
      </c>
      <c r="J5">
        <v>18</v>
      </c>
      <c r="K5">
        <v>2</v>
      </c>
      <c r="L5" t="s">
        <v>11</v>
      </c>
      <c r="M5" t="s">
        <v>115</v>
      </c>
      <c r="N5" t="s">
        <v>139</v>
      </c>
      <c r="O5">
        <v>36</v>
      </c>
      <c r="R5" t="s">
        <v>73</v>
      </c>
      <c r="S5">
        <f>IFERROR(VALUE(RIGHT(LightSpec[[#This Row],[From]],1)), 0)</f>
        <v>4</v>
      </c>
      <c r="T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 spans="1:27" hidden="1" x14ac:dyDescent="0.25">
      <c r="A6" t="str">
        <f>LightSpec[[#This Row],[From]]&amp;"-"&amp;LightSpec[[#This Row],[Room]]&amp;"-"&amp;LightSpec[[#This Row],[DiagNo]]</f>
        <v>P2O1-GEG-C4</v>
      </c>
      <c r="B6" t="str">
        <f>_xlfn.XLOOKUP(LightSpec[[#This Row],[Room]],Rooms[Code],Rooms[Room])</f>
        <v>Garden</v>
      </c>
      <c r="C6" t="str">
        <f>_xlfn.XLOOKUP(LightSpec[[#This Row],[Room]],Rooms[Code],Rooms[Floor])</f>
        <v>Exterior</v>
      </c>
      <c r="D6" t="s">
        <v>155</v>
      </c>
      <c r="E6" t="s">
        <v>148</v>
      </c>
      <c r="F6" t="s">
        <v>213</v>
      </c>
      <c r="I6" t="s">
        <v>93</v>
      </c>
      <c r="J6">
        <v>7</v>
      </c>
      <c r="K6">
        <v>2</v>
      </c>
      <c r="L6" t="s">
        <v>11</v>
      </c>
      <c r="M6" t="s">
        <v>115</v>
      </c>
      <c r="N6" t="s">
        <v>139</v>
      </c>
      <c r="O6">
        <v>14</v>
      </c>
      <c r="R6" t="s">
        <v>94</v>
      </c>
      <c r="S6">
        <f>IFERROR(VALUE(RIGHT(LightSpec[[#This Row],[From]],1)), 0)</f>
        <v>1</v>
      </c>
      <c r="T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7" spans="1:27" hidden="1" x14ac:dyDescent="0.25">
      <c r="A7" t="str">
        <f>LightSpec[[#This Row],[From]]&amp;"-"&amp;LightSpec[[#This Row],[Room]]&amp;"-"&amp;LightSpec[[#This Row],[DiagNo]]</f>
        <v>P2O2-GEG-C5</v>
      </c>
      <c r="B7" t="str">
        <f>_xlfn.XLOOKUP(LightSpec[[#This Row],[Room]],Rooms[Code],Rooms[Room])</f>
        <v>Garden</v>
      </c>
      <c r="C7" t="str">
        <f>_xlfn.XLOOKUP(LightSpec[[#This Row],[Room]],Rooms[Code],Rooms[Floor])</f>
        <v>Exterior</v>
      </c>
      <c r="D7" t="s">
        <v>155</v>
      </c>
      <c r="E7" t="s">
        <v>147</v>
      </c>
      <c r="F7" t="s">
        <v>214</v>
      </c>
      <c r="I7" t="s">
        <v>161</v>
      </c>
      <c r="J7">
        <v>9</v>
      </c>
      <c r="K7">
        <v>13</v>
      </c>
      <c r="L7" t="s">
        <v>11</v>
      </c>
      <c r="M7" t="s">
        <v>115</v>
      </c>
      <c r="N7" t="s">
        <v>139</v>
      </c>
      <c r="O7">
        <v>117</v>
      </c>
      <c r="R7" t="s">
        <v>95</v>
      </c>
      <c r="S7">
        <f>IFERROR(VALUE(RIGHT(LightSpec[[#This Row],[From]],1)), 0)</f>
        <v>2</v>
      </c>
      <c r="T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8" spans="1:27" hidden="1" x14ac:dyDescent="0.25">
      <c r="A8" t="str">
        <f>LightSpec[[#This Row],[From]]&amp;"-"&amp;LightSpec[[#This Row],[Room]]&amp;"-"&amp;LightSpec[[#This Row],[DiagNo]]</f>
        <v>P2O3-GEG-C6</v>
      </c>
      <c r="B8" t="str">
        <f>_xlfn.XLOOKUP(LightSpec[[#This Row],[Room]],Rooms[Code],Rooms[Room])</f>
        <v>Garden</v>
      </c>
      <c r="C8" t="str">
        <f>_xlfn.XLOOKUP(LightSpec[[#This Row],[Room]],Rooms[Code],Rooms[Floor])</f>
        <v>Exterior</v>
      </c>
      <c r="D8" t="s">
        <v>155</v>
      </c>
      <c r="E8" t="s">
        <v>146</v>
      </c>
      <c r="F8" t="s">
        <v>215</v>
      </c>
      <c r="I8" t="s">
        <v>96</v>
      </c>
      <c r="J8">
        <v>1</v>
      </c>
      <c r="K8">
        <v>15</v>
      </c>
      <c r="L8" t="s">
        <v>9</v>
      </c>
      <c r="M8" t="s">
        <v>115</v>
      </c>
      <c r="N8" t="s">
        <v>139</v>
      </c>
      <c r="O8">
        <v>15</v>
      </c>
      <c r="P8" t="s">
        <v>113</v>
      </c>
      <c r="R8" t="s">
        <v>100</v>
      </c>
      <c r="S8">
        <f>IFERROR(VALUE(RIGHT(LightSpec[[#This Row],[From]],1)), 0)</f>
        <v>3</v>
      </c>
      <c r="T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9" spans="1:27" hidden="1" x14ac:dyDescent="0.25">
      <c r="A9" t="str">
        <f>LightSpec[[#This Row],[From]]&amp;"-"&amp;LightSpec[[#This Row],[Room]]&amp;"-"&amp;LightSpec[[#This Row],[DiagNo]]</f>
        <v>P2O3-GEG-C6</v>
      </c>
      <c r="B9" t="str">
        <f>_xlfn.XLOOKUP(LightSpec[[#This Row],[Room]],Rooms[Code],Rooms[Room])</f>
        <v>Garden</v>
      </c>
      <c r="C9" t="str">
        <f>_xlfn.XLOOKUP(LightSpec[[#This Row],[Room]],Rooms[Code],Rooms[Floor])</f>
        <v>Exterior</v>
      </c>
      <c r="D9" t="s">
        <v>155</v>
      </c>
      <c r="E9" t="s">
        <v>146</v>
      </c>
      <c r="F9" t="s">
        <v>215</v>
      </c>
      <c r="I9" t="s">
        <v>97</v>
      </c>
      <c r="J9">
        <v>1</v>
      </c>
      <c r="K9">
        <v>11</v>
      </c>
      <c r="L9" t="s">
        <v>9</v>
      </c>
      <c r="M9" t="s">
        <v>115</v>
      </c>
      <c r="N9" t="s">
        <v>139</v>
      </c>
      <c r="O9">
        <v>11</v>
      </c>
      <c r="R9" t="s">
        <v>98</v>
      </c>
      <c r="S9">
        <f>IFERROR(VALUE(RIGHT(LightSpec[[#This Row],[From]],1)), 0)</f>
        <v>3</v>
      </c>
      <c r="T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0" spans="1:27" hidden="1" x14ac:dyDescent="0.25">
      <c r="A10" t="str">
        <f>LightSpec[[#This Row],[From]]&amp;"-"&amp;LightSpec[[#This Row],[Room]]&amp;"-"&amp;LightSpec[[#This Row],[DiagNo]]</f>
        <v>P2O4-GEG-C7</v>
      </c>
      <c r="B10" t="str">
        <f>_xlfn.XLOOKUP(LightSpec[[#This Row],[Room]],Rooms[Code],Rooms[Room])</f>
        <v>Garden</v>
      </c>
      <c r="C10" t="str">
        <f>_xlfn.XLOOKUP(LightSpec[[#This Row],[Room]],Rooms[Code],Rooms[Floor])</f>
        <v>Exterior</v>
      </c>
      <c r="D10" t="s">
        <v>155</v>
      </c>
      <c r="E10" t="s">
        <v>145</v>
      </c>
      <c r="F10" t="s">
        <v>216</v>
      </c>
      <c r="I10" t="s">
        <v>161</v>
      </c>
      <c r="J10">
        <v>9</v>
      </c>
      <c r="K10">
        <v>3</v>
      </c>
      <c r="L10" t="s">
        <v>11</v>
      </c>
      <c r="M10" t="s">
        <v>115</v>
      </c>
      <c r="N10" t="s">
        <v>139</v>
      </c>
      <c r="O10">
        <f>LightSpec[[#This Row],[No. of fittings]]*LightSpec[[#This Row],[Wattage / unit]]</f>
        <v>27</v>
      </c>
      <c r="R10" t="s">
        <v>99</v>
      </c>
      <c r="S10">
        <f>IFERROR(VALUE(RIGHT(LightSpec[[#This Row],[From]],1)), 0)</f>
        <v>4</v>
      </c>
      <c r="T1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1" spans="1:27" hidden="1" x14ac:dyDescent="0.25">
      <c r="A11" t="str">
        <f>LightSpec[[#This Row],[From]]&amp;"-"&amp;LightSpec[[#This Row],[Room]]&amp;"-"&amp;LightSpec[[#This Row],[DiagNo]]</f>
        <v>P3O1-GEG-C8</v>
      </c>
      <c r="B11" t="str">
        <f>_xlfn.XLOOKUP(LightSpec[[#This Row],[Room]],Rooms[Code],Rooms[Room])</f>
        <v>Garden</v>
      </c>
      <c r="C11" t="str">
        <f>_xlfn.XLOOKUP(LightSpec[[#This Row],[Room]],Rooms[Code],Rooms[Floor])</f>
        <v>Exterior</v>
      </c>
      <c r="D11" t="s">
        <v>155</v>
      </c>
      <c r="E11" t="s">
        <v>142</v>
      </c>
      <c r="F11" t="s">
        <v>217</v>
      </c>
      <c r="I11" t="s">
        <v>17</v>
      </c>
      <c r="J11" t="s">
        <v>3</v>
      </c>
      <c r="K11" t="s">
        <v>3</v>
      </c>
      <c r="L11" t="s">
        <v>11</v>
      </c>
      <c r="M11" t="s">
        <v>115</v>
      </c>
      <c r="N11" t="s">
        <v>139</v>
      </c>
      <c r="O11" t="s">
        <v>3</v>
      </c>
      <c r="R11" t="s">
        <v>29</v>
      </c>
      <c r="S11">
        <f>IFERROR(VALUE(RIGHT(LightSpec[[#This Row],[From]],1)), 0)</f>
        <v>1</v>
      </c>
      <c r="T1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2" spans="1:27" hidden="1" x14ac:dyDescent="0.25">
      <c r="A12" t="str">
        <f>LightSpec[[#This Row],[From]]&amp;"-"&amp;LightSpec[[#This Row],[Room]]&amp;"-"&amp;LightSpec[[#This Row],[DiagNo]]</f>
        <v>P3O2-GEG-C9</v>
      </c>
      <c r="B12" t="str">
        <f>_xlfn.XLOOKUP(LightSpec[[#This Row],[Room]],Rooms[Code],Rooms[Room])</f>
        <v>Garden</v>
      </c>
      <c r="C12" t="str">
        <f>_xlfn.XLOOKUP(LightSpec[[#This Row],[Room]],Rooms[Code],Rooms[Floor])</f>
        <v>Exterior</v>
      </c>
      <c r="D12" t="s">
        <v>155</v>
      </c>
      <c r="E12" t="s">
        <v>143</v>
      </c>
      <c r="F12" t="s">
        <v>218</v>
      </c>
      <c r="I12" t="s">
        <v>17</v>
      </c>
      <c r="J12" t="s">
        <v>3</v>
      </c>
      <c r="K12" t="s">
        <v>3</v>
      </c>
      <c r="L12" t="s">
        <v>11</v>
      </c>
      <c r="M12" t="s">
        <v>115</v>
      </c>
      <c r="N12" t="s">
        <v>139</v>
      </c>
      <c r="O12" t="s">
        <v>3</v>
      </c>
      <c r="R12" t="s">
        <v>101</v>
      </c>
      <c r="S12">
        <f>IFERROR(VALUE(RIGHT(LightSpec[[#This Row],[From]],1)), 0)</f>
        <v>2</v>
      </c>
      <c r="T1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 spans="1:27" hidden="1" x14ac:dyDescent="0.25">
      <c r="A13" t="str">
        <f>LightSpec[[#This Row],[From]]&amp;"-"&amp;LightSpec[[#This Row],[Room]]&amp;"-"&amp;LightSpec[[#This Row],[DiagNo]]</f>
        <v>P3O3-GEG-C10</v>
      </c>
      <c r="B13" t="str">
        <f>_xlfn.XLOOKUP(LightSpec[[#This Row],[Room]],Rooms[Code],Rooms[Room])</f>
        <v>Garden</v>
      </c>
      <c r="C13" t="str">
        <f>_xlfn.XLOOKUP(LightSpec[[#This Row],[Room]],Rooms[Code],Rooms[Floor])</f>
        <v>Exterior</v>
      </c>
      <c r="D13" t="s">
        <v>155</v>
      </c>
      <c r="E13" t="s">
        <v>144</v>
      </c>
      <c r="F13" t="s">
        <v>219</v>
      </c>
      <c r="I13" t="s">
        <v>17</v>
      </c>
      <c r="J13" t="s">
        <v>3</v>
      </c>
      <c r="K13" t="s">
        <v>3</v>
      </c>
      <c r="L13" t="s">
        <v>11</v>
      </c>
      <c r="M13" t="s">
        <v>115</v>
      </c>
      <c r="N13" t="s">
        <v>139</v>
      </c>
      <c r="O13" t="s">
        <v>3</v>
      </c>
      <c r="R13" t="s">
        <v>102</v>
      </c>
      <c r="S13">
        <f>IFERROR(VALUE(RIGHT(LightSpec[[#This Row],[From]],1)), 0)</f>
        <v>3</v>
      </c>
      <c r="T1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4" spans="1:27" hidden="1" x14ac:dyDescent="0.25">
      <c r="A14" t="str">
        <f>LightSpec[[#This Row],[From]]&amp;"-"&amp;LightSpec[[#This Row],[Room]]&amp;"-"&amp;LightSpec[[#This Row],[DiagNo]]</f>
        <v>E7-GEG-D1</v>
      </c>
      <c r="B14" t="str">
        <f>_xlfn.XLOOKUP(LightSpec[[#This Row],[Room]],Rooms[Code],Rooms[Room])</f>
        <v>Garden</v>
      </c>
      <c r="C14" t="str">
        <f>_xlfn.XLOOKUP(LightSpec[[#This Row],[Room]],Rooms[Code],Rooms[Floor])</f>
        <v>Exterior</v>
      </c>
      <c r="D14" t="s">
        <v>155</v>
      </c>
      <c r="E14" t="s">
        <v>266</v>
      </c>
      <c r="F14" t="s">
        <v>312</v>
      </c>
      <c r="I14" t="s">
        <v>314</v>
      </c>
      <c r="L14" t="s">
        <v>269</v>
      </c>
      <c r="M14" t="s">
        <v>270</v>
      </c>
      <c r="N14" t="s">
        <v>247</v>
      </c>
      <c r="R14" t="s">
        <v>315</v>
      </c>
      <c r="S14">
        <f>IFERROR(VALUE(RIGHT(LightSpec[[#This Row],[From]],1)), 0)</f>
        <v>7</v>
      </c>
      <c r="T1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 spans="1:27" hidden="1" x14ac:dyDescent="0.25">
      <c r="A15" t="str">
        <f>LightSpec[[#This Row],[From]]&amp;"-"&amp;LightSpec[[#This Row],[Room]]&amp;"-"&amp;LightSpec[[#This Row],[DiagNo]]</f>
        <v>E8-GEG-D2</v>
      </c>
      <c r="B15" t="str">
        <f>_xlfn.XLOOKUP(LightSpec[[#This Row],[Room]],Rooms[Code],Rooms[Room])</f>
        <v>Garden</v>
      </c>
      <c r="C15" t="str">
        <f>_xlfn.XLOOKUP(LightSpec[[#This Row],[Room]],Rooms[Code],Rooms[Floor])</f>
        <v>Exterior</v>
      </c>
      <c r="D15" t="s">
        <v>155</v>
      </c>
      <c r="E15" t="s">
        <v>309</v>
      </c>
      <c r="F15" t="s">
        <v>313</v>
      </c>
      <c r="I15" t="s">
        <v>314</v>
      </c>
      <c r="L15" t="s">
        <v>269</v>
      </c>
      <c r="M15" t="s">
        <v>270</v>
      </c>
      <c r="N15" t="s">
        <v>247</v>
      </c>
      <c r="R15" t="s">
        <v>315</v>
      </c>
      <c r="S15">
        <f>IFERROR(VALUE(RIGHT(LightSpec[[#This Row],[From]],1)), 0)</f>
        <v>8</v>
      </c>
      <c r="T1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6" spans="1:27" hidden="1" x14ac:dyDescent="0.25">
      <c r="A16" t="str">
        <f>LightSpec[[#This Row],[From]]&amp;"-"&amp;LightSpec[[#This Row],[Room]]&amp;"-"&amp;LightSpec[[#This Row],[DiagNo]]</f>
        <v>E9-GEG-D3</v>
      </c>
      <c r="B16" t="str">
        <f>_xlfn.XLOOKUP(LightSpec[[#This Row],[Room]],Rooms[Code],Rooms[Room])</f>
        <v>Garden</v>
      </c>
      <c r="C16" t="str">
        <f>_xlfn.XLOOKUP(LightSpec[[#This Row],[Room]],Rooms[Code],Rooms[Floor])</f>
        <v>Exterior</v>
      </c>
      <c r="D16" t="s">
        <v>155</v>
      </c>
      <c r="E16" t="s">
        <v>310</v>
      </c>
      <c r="F16" t="s">
        <v>330</v>
      </c>
      <c r="I16" t="s">
        <v>314</v>
      </c>
      <c r="L16" t="s">
        <v>269</v>
      </c>
      <c r="M16" t="s">
        <v>270</v>
      </c>
      <c r="N16" t="s">
        <v>247</v>
      </c>
      <c r="R16" t="s">
        <v>315</v>
      </c>
      <c r="S16">
        <f>IFERROR(VALUE(RIGHT(LightSpec[[#This Row],[From]],1)), 0)</f>
        <v>9</v>
      </c>
      <c r="T1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 spans="1:27" hidden="1" x14ac:dyDescent="0.25">
      <c r="A17" t="str">
        <f>LightSpec[[#This Row],[From]]&amp;"-"&amp;LightSpec[[#This Row],[Room]]&amp;"-"&amp;LightSpec[[#This Row],[DiagNo]]</f>
        <v>D1O1-GEH-C1</v>
      </c>
      <c r="B17" t="str">
        <f>_xlfn.XLOOKUP(LightSpec[[#This Row],[Room]],Rooms[Code],Rooms[Room])</f>
        <v>Entrance Hall</v>
      </c>
      <c r="C17" t="str">
        <f>_xlfn.XLOOKUP(LightSpec[[#This Row],[Room]],Rooms[Code],Rooms[Floor])</f>
        <v>Ground</v>
      </c>
      <c r="D17" t="s">
        <v>158</v>
      </c>
      <c r="E17" t="s">
        <v>151</v>
      </c>
      <c r="F17" t="s">
        <v>220</v>
      </c>
      <c r="I17" t="s">
        <v>4</v>
      </c>
      <c r="J17">
        <v>100</v>
      </c>
      <c r="K17">
        <v>1</v>
      </c>
      <c r="L17" t="s">
        <v>11</v>
      </c>
      <c r="M17" t="s">
        <v>136</v>
      </c>
      <c r="N17" t="s">
        <v>140</v>
      </c>
      <c r="O17">
        <v>100</v>
      </c>
      <c r="R17" t="s">
        <v>30</v>
      </c>
      <c r="S17">
        <f>IFERROR(VALUE(RIGHT(LightSpec[[#This Row],[From]],1)), 0)</f>
        <v>1</v>
      </c>
      <c r="T1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8" spans="1:27" hidden="1" x14ac:dyDescent="0.25">
      <c r="A18" t="str">
        <f>LightSpec[[#This Row],[From]]&amp;"-"&amp;LightSpec[[#This Row],[Room]]&amp;"-"&amp;LightSpec[[#This Row],[DiagNo]]</f>
        <v>D1O2-GEH-C2</v>
      </c>
      <c r="B18" t="str">
        <f>_xlfn.XLOOKUP(LightSpec[[#This Row],[Room]],Rooms[Code],Rooms[Room])</f>
        <v>Entrance Hall</v>
      </c>
      <c r="C18" t="str">
        <f>_xlfn.XLOOKUP(LightSpec[[#This Row],[Room]],Rooms[Code],Rooms[Floor])</f>
        <v>Ground</v>
      </c>
      <c r="D18" t="s">
        <v>158</v>
      </c>
      <c r="E18" t="s">
        <v>150</v>
      </c>
      <c r="F18" t="s">
        <v>221</v>
      </c>
      <c r="I18" t="s">
        <v>5</v>
      </c>
      <c r="J18">
        <v>9</v>
      </c>
      <c r="K18">
        <v>9</v>
      </c>
      <c r="L18" t="s">
        <v>11</v>
      </c>
      <c r="M18" t="s">
        <v>136</v>
      </c>
      <c r="N18" t="s">
        <v>140</v>
      </c>
      <c r="O18">
        <v>81</v>
      </c>
      <c r="R18" t="s">
        <v>31</v>
      </c>
      <c r="S18">
        <f>IFERROR(VALUE(RIGHT(LightSpec[[#This Row],[From]],1)), 0)</f>
        <v>2</v>
      </c>
      <c r="T1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 spans="1:27" x14ac:dyDescent="0.25">
      <c r="A19" t="str">
        <f>LightSpec[[#This Row],[From]]&amp;"-"&amp;LightSpec[[#This Row],[Room]]&amp;"-"&amp;LightSpec[[#This Row],[DiagNo]]</f>
        <v>D2O1-GEH-C3</v>
      </c>
      <c r="B19" t="str">
        <f>_xlfn.XLOOKUP(LightSpec[[#This Row],[Room]],Rooms[Code],Rooms[Room])</f>
        <v>Entrance Hall</v>
      </c>
      <c r="C19" t="str">
        <f>_xlfn.XLOOKUP(LightSpec[[#This Row],[Room]],Rooms[Code],Rooms[Floor])</f>
        <v>Ground</v>
      </c>
      <c r="D19" t="s">
        <v>158</v>
      </c>
      <c r="E19" t="s">
        <v>149</v>
      </c>
      <c r="F19" t="s">
        <v>222</v>
      </c>
      <c r="I19" t="s">
        <v>19</v>
      </c>
      <c r="J19">
        <v>3</v>
      </c>
      <c r="K19">
        <v>10</v>
      </c>
      <c r="L19" t="s">
        <v>11</v>
      </c>
      <c r="M19" t="s">
        <v>136</v>
      </c>
      <c r="N19" t="s">
        <v>140</v>
      </c>
      <c r="O19">
        <v>33</v>
      </c>
      <c r="P19" t="s">
        <v>113</v>
      </c>
      <c r="R19" t="s">
        <v>32</v>
      </c>
      <c r="S19">
        <f>IFERROR(VALUE(RIGHT(LightSpec[[#This Row],[From]],1)), 0)</f>
        <v>1</v>
      </c>
      <c r="T1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0" spans="1:27" x14ac:dyDescent="0.25">
      <c r="A20" t="str">
        <f>LightSpec[[#This Row],[From]]&amp;"-"&amp;LightSpec[[#This Row],[Room]]&amp;"-"&amp;LightSpec[[#This Row],[DiagNo]]</f>
        <v>D2O2-GEH-C4</v>
      </c>
      <c r="B20" t="str">
        <f>_xlfn.XLOOKUP(LightSpec[[#This Row],[Room]],Rooms[Code],Rooms[Room])</f>
        <v>Entrance Hall</v>
      </c>
      <c r="C20" t="str">
        <f>_xlfn.XLOOKUP(LightSpec[[#This Row],[Room]],Rooms[Code],Rooms[Floor])</f>
        <v>Ground</v>
      </c>
      <c r="D20" t="s">
        <v>158</v>
      </c>
      <c r="E20" t="s">
        <v>148</v>
      </c>
      <c r="F20" t="s">
        <v>223</v>
      </c>
      <c r="I20" t="s">
        <v>6</v>
      </c>
      <c r="J20">
        <v>3</v>
      </c>
      <c r="K20">
        <v>9</v>
      </c>
      <c r="L20" t="s">
        <v>9</v>
      </c>
      <c r="M20" t="s">
        <v>136</v>
      </c>
      <c r="N20" t="s">
        <v>140</v>
      </c>
      <c r="O20">
        <v>27</v>
      </c>
      <c r="P20" t="s">
        <v>113</v>
      </c>
      <c r="R20" t="s">
        <v>33</v>
      </c>
      <c r="S20">
        <f>IFERROR(VALUE(RIGHT(LightSpec[[#This Row],[From]],1)), 0)</f>
        <v>2</v>
      </c>
      <c r="T2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1" spans="1:27" hidden="1" x14ac:dyDescent="0.25">
      <c r="A21" t="str">
        <f>LightSpec[[#This Row],[From]]&amp;"-"&amp;LightSpec[[#This Row],[Room]]&amp;"-"&amp;LightSpec[[#This Row],[DiagNo]]</f>
        <v>D1S1-GEH-S1</v>
      </c>
      <c r="B21" t="str">
        <f>_xlfn.XLOOKUP(LightSpec[[#This Row],[Room]],Rooms[Code],Rooms[Room])</f>
        <v>Entrance Hall</v>
      </c>
      <c r="C21" t="str">
        <f>_xlfn.XLOOKUP(LightSpec[[#This Row],[Room]],Rooms[Code],Rooms[Floor])</f>
        <v>Ground</v>
      </c>
      <c r="D21" t="s">
        <v>158</v>
      </c>
      <c r="E21" t="s">
        <v>192</v>
      </c>
      <c r="F21" t="s">
        <v>228</v>
      </c>
      <c r="G21">
        <v>4</v>
      </c>
      <c r="H21">
        <v>0</v>
      </c>
      <c r="I21" t="s">
        <v>229</v>
      </c>
      <c r="L21" t="s">
        <v>11</v>
      </c>
      <c r="M21" t="s">
        <v>232</v>
      </c>
      <c r="N21" t="s">
        <v>409</v>
      </c>
      <c r="R21" t="s">
        <v>242</v>
      </c>
      <c r="S21">
        <f>IFERROR(VALUE(RIGHT(LightSpec[[#This Row],[From]],1)), 0)</f>
        <v>1</v>
      </c>
      <c r="T2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Entrance Hall (Switch S1)</v>
      </c>
      <c r="U2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Entrance Hall (Switch S1)</v>
      </c>
      <c r="V2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Entrance Hall (Switch S1)</v>
      </c>
      <c r="W2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Entrance Hall (Switch S1)</v>
      </c>
      <c r="X2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D1S1-GEH-S1 (Switch S1)</v>
      </c>
      <c r="Y2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D1S1-GEH-S1 (Switch S1)</v>
      </c>
      <c r="Z2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D1S1-GEH-S1 (Switch S1)</v>
      </c>
      <c r="AA2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D1S1-GEH-S1 (Switch S1)</v>
      </c>
    </row>
    <row r="22" spans="1:27" x14ac:dyDescent="0.25">
      <c r="A22" t="str">
        <f>LightSpec[[#This Row],[From]]&amp;"-"&amp;LightSpec[[#This Row],[Room]]&amp;"-"&amp;LightSpec[[#This Row],[DiagNo]]</f>
        <v>D2S1-GEH-S2</v>
      </c>
      <c r="B22" t="str">
        <f>_xlfn.XLOOKUP(LightSpec[[#This Row],[Room]],Rooms[Code],Rooms[Room])</f>
        <v>Entrance Hall</v>
      </c>
      <c r="C22" t="str">
        <f>_xlfn.XLOOKUP(LightSpec[[#This Row],[Room]],Rooms[Code],Rooms[Floor])</f>
        <v>Ground</v>
      </c>
      <c r="D22" t="s">
        <v>158</v>
      </c>
      <c r="E22" t="s">
        <v>193</v>
      </c>
      <c r="F22" t="s">
        <v>230</v>
      </c>
      <c r="G22">
        <v>2</v>
      </c>
      <c r="H22">
        <v>0</v>
      </c>
      <c r="I22" t="s">
        <v>231</v>
      </c>
      <c r="L22" t="s">
        <v>11</v>
      </c>
      <c r="M22" t="s">
        <v>233</v>
      </c>
      <c r="N22" t="s">
        <v>410</v>
      </c>
      <c r="R22" t="s">
        <v>243</v>
      </c>
      <c r="S22">
        <f>IFERROR(VALUE(RIGHT(LightSpec[[#This Row],[From]],1)), 0)</f>
        <v>1</v>
      </c>
      <c r="T2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Entrance Hall (Switch S2)</v>
      </c>
      <c r="U2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Entrance Hall (Switch S2)</v>
      </c>
      <c r="V2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D2S1-GEH-S2 (Switch S2)</v>
      </c>
      <c r="Y2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D2S1-GEH-S2 (Switch S2)</v>
      </c>
      <c r="Z2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3" spans="1:27" hidden="1" x14ac:dyDescent="0.25">
      <c r="A23" t="str">
        <f>LightSpec[[#This Row],[From]]&amp;"-"&amp;LightSpec[[#This Row],[Room]]&amp;"-"&amp;LightSpec[[#This Row],[DiagNo]]</f>
        <v>MCB-GEH-P1</v>
      </c>
      <c r="B23" t="str">
        <f>_xlfn.XLOOKUP(LightSpec[[#This Row],[Room]],Rooms[Code],Rooms[Room])</f>
        <v>Entrance Hall</v>
      </c>
      <c r="C23" t="str">
        <f>_xlfn.XLOOKUP(LightSpec[[#This Row],[Room]],Rooms[Code],Rooms[Floor])</f>
        <v>Ground</v>
      </c>
      <c r="D23" t="s">
        <v>158</v>
      </c>
      <c r="E23" t="s">
        <v>238</v>
      </c>
      <c r="F23" t="s">
        <v>206</v>
      </c>
      <c r="I23" t="s">
        <v>239</v>
      </c>
      <c r="L23" t="s">
        <v>11</v>
      </c>
      <c r="M23" t="s">
        <v>248</v>
      </c>
      <c r="N23" t="s">
        <v>247</v>
      </c>
      <c r="R23" t="s">
        <v>244</v>
      </c>
      <c r="S23">
        <f>IFERROR(VALUE(RIGHT(LightSpec[[#This Row],[From]],1)), 0)</f>
        <v>0</v>
      </c>
      <c r="T2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4" spans="1:27" hidden="1" x14ac:dyDescent="0.25">
      <c r="A24" t="str">
        <f>LightSpec[[#This Row],[From]]&amp;"-"&amp;LightSpec[[#This Row],[Room]]&amp;"-"&amp;LightSpec[[#This Row],[DiagNo]]</f>
        <v>D3O1-FEL-C5</v>
      </c>
      <c r="B24" t="str">
        <f>_xlfn.XLOOKUP(LightSpec[[#This Row],[Room]],Rooms[Code],Rooms[Room])</f>
        <v>Entrance Landing</v>
      </c>
      <c r="C24" t="str">
        <f>_xlfn.XLOOKUP(LightSpec[[#This Row],[Room]],Rooms[Code],Rooms[Floor])</f>
        <v>First</v>
      </c>
      <c r="D24" t="s">
        <v>181</v>
      </c>
      <c r="E24" t="s">
        <v>147</v>
      </c>
      <c r="F24" t="s">
        <v>207</v>
      </c>
      <c r="I24" t="s">
        <v>18</v>
      </c>
      <c r="J24">
        <v>40</v>
      </c>
      <c r="K24">
        <v>3</v>
      </c>
      <c r="L24" t="s">
        <v>11</v>
      </c>
      <c r="M24" t="s">
        <v>136</v>
      </c>
      <c r="N24" t="s">
        <v>140</v>
      </c>
      <c r="O24">
        <v>120</v>
      </c>
      <c r="R24" t="s">
        <v>74</v>
      </c>
      <c r="S24">
        <f>IFERROR(VALUE(RIGHT(LightSpec[[#This Row],[From]],1)), 0)</f>
        <v>1</v>
      </c>
      <c r="T2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5" spans="1:27" hidden="1" x14ac:dyDescent="0.25">
      <c r="A25" t="str">
        <f>LightSpec[[#This Row],[From]]&amp;"-"&amp;LightSpec[[#This Row],[Room]]&amp;"-"&amp;LightSpec[[#This Row],[DiagNo]]</f>
        <v>D3O2-FEL-C6</v>
      </c>
      <c r="B25" t="str">
        <f>_xlfn.XLOOKUP(LightSpec[[#This Row],[Room]],Rooms[Code],Rooms[Room])</f>
        <v>Entrance Landing</v>
      </c>
      <c r="C25" t="str">
        <f>_xlfn.XLOOKUP(LightSpec[[#This Row],[Room]],Rooms[Code],Rooms[Floor])</f>
        <v>First</v>
      </c>
      <c r="D25" t="s">
        <v>181</v>
      </c>
      <c r="E25" t="s">
        <v>146</v>
      </c>
      <c r="F25" t="s">
        <v>224</v>
      </c>
      <c r="I25" t="s">
        <v>34</v>
      </c>
      <c r="J25">
        <v>18</v>
      </c>
      <c r="K25">
        <v>6</v>
      </c>
      <c r="L25" t="s">
        <v>11</v>
      </c>
      <c r="M25" t="s">
        <v>136</v>
      </c>
      <c r="N25" t="s">
        <v>140</v>
      </c>
      <c r="O25">
        <f>LightSpec[[#This Row],[No. of fittings]]*LightSpec[[#This Row],[Wattage / unit]]</f>
        <v>108</v>
      </c>
      <c r="R25" t="s">
        <v>35</v>
      </c>
      <c r="S25">
        <f>IFERROR(VALUE(RIGHT(LightSpec[[#This Row],[From]],1)), 0)</f>
        <v>2</v>
      </c>
      <c r="T2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6" spans="1:27" x14ac:dyDescent="0.25">
      <c r="A26" t="str">
        <f>LightSpec[[#This Row],[From]]&amp;"-"&amp;LightSpec[[#This Row],[Room]]&amp;"-"&amp;LightSpec[[#This Row],[DiagNo]]</f>
        <v>D2S3-FEL-S3</v>
      </c>
      <c r="B26" t="str">
        <f>_xlfn.XLOOKUP(LightSpec[[#This Row],[Room]],Rooms[Code],Rooms[Room])</f>
        <v>Entrance Landing</v>
      </c>
      <c r="C26" t="str">
        <f>_xlfn.XLOOKUP(LightSpec[[#This Row],[Room]],Rooms[Code],Rooms[Floor])</f>
        <v>First</v>
      </c>
      <c r="D26" t="s">
        <v>181</v>
      </c>
      <c r="E26" t="s">
        <v>194</v>
      </c>
      <c r="F26" t="s">
        <v>252</v>
      </c>
      <c r="G26">
        <v>2</v>
      </c>
      <c r="H26">
        <v>2</v>
      </c>
      <c r="I26" t="s">
        <v>235</v>
      </c>
      <c r="L26" t="s">
        <v>11</v>
      </c>
      <c r="M26" t="s">
        <v>233</v>
      </c>
      <c r="N26" t="s">
        <v>410</v>
      </c>
      <c r="R26" t="s">
        <v>249</v>
      </c>
      <c r="S26">
        <f>IFERROR(VALUE(RIGHT(LightSpec[[#This Row],[From]],1)), 0)</f>
        <v>3</v>
      </c>
      <c r="T2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Entrance Landing (Switch S3)</v>
      </c>
      <c r="W2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Entrance Landing (Switch S3)</v>
      </c>
      <c r="X2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D2S3-FEL-S3 (Switch S3)</v>
      </c>
      <c r="AA2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D2S3-FEL-S3 (Switch S3)</v>
      </c>
    </row>
    <row r="27" spans="1:27" hidden="1" x14ac:dyDescent="0.25">
      <c r="A27" t="str">
        <f>LightSpec[[#This Row],[From]]&amp;"-"&amp;LightSpec[[#This Row],[Room]]&amp;"-"&amp;LightSpec[[#This Row],[DiagNo]]</f>
        <v>D3S1-FEL-S4</v>
      </c>
      <c r="B27" t="str">
        <f>_xlfn.XLOOKUP(LightSpec[[#This Row],[Room]],Rooms[Code],Rooms[Room])</f>
        <v>Entrance Landing</v>
      </c>
      <c r="C27" t="str">
        <f>_xlfn.XLOOKUP(LightSpec[[#This Row],[Room]],Rooms[Code],Rooms[Floor])</f>
        <v>First</v>
      </c>
      <c r="D27" t="s">
        <v>181</v>
      </c>
      <c r="E27" t="s">
        <v>195</v>
      </c>
      <c r="F27" t="s">
        <v>234</v>
      </c>
      <c r="G27">
        <v>4</v>
      </c>
      <c r="H27">
        <v>0</v>
      </c>
      <c r="I27" t="s">
        <v>229</v>
      </c>
      <c r="L27" t="s">
        <v>11</v>
      </c>
      <c r="M27" t="s">
        <v>232</v>
      </c>
      <c r="N27" t="s">
        <v>409</v>
      </c>
      <c r="R27" t="s">
        <v>249</v>
      </c>
      <c r="S27">
        <f>IFERROR(VALUE(RIGHT(LightSpec[[#This Row],[From]],1)), 0)</f>
        <v>1</v>
      </c>
      <c r="T2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Entrance Landing (Switch S4)</v>
      </c>
      <c r="U2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Entrance Landing (Switch S4)</v>
      </c>
      <c r="V2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Entrance Landing (Switch S4)</v>
      </c>
      <c r="W2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Entrance Landing (Switch S4)</v>
      </c>
      <c r="X2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D3S1-FEL-S4 (Switch S4)</v>
      </c>
      <c r="Y2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D3S1-FEL-S4 (Switch S4)</v>
      </c>
      <c r="Z2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D3S1-FEL-S4 (Switch S4)</v>
      </c>
      <c r="AA2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D3S1-FEL-S4 (Switch S4)</v>
      </c>
    </row>
    <row r="28" spans="1:27" hidden="1" x14ac:dyDescent="0.25">
      <c r="A28" t="str">
        <f>LightSpec[[#This Row],[From]]&amp;"-"&amp;LightSpec[[#This Row],[Room]]&amp;"-"&amp;LightSpec[[#This Row],[DiagNo]]</f>
        <v>MCB-FEL-P2</v>
      </c>
      <c r="B28" t="str">
        <f>_xlfn.XLOOKUP(LightSpec[[#This Row],[Room]],Rooms[Code],Rooms[Room])</f>
        <v>Entrance Landing</v>
      </c>
      <c r="C28" t="str">
        <f>_xlfn.XLOOKUP(LightSpec[[#This Row],[Room]],Rooms[Code],Rooms[Floor])</f>
        <v>First</v>
      </c>
      <c r="D28" t="s">
        <v>181</v>
      </c>
      <c r="E28" t="s">
        <v>237</v>
      </c>
      <c r="F28" t="s">
        <v>206</v>
      </c>
      <c r="I28" t="s">
        <v>236</v>
      </c>
      <c r="L28" t="s">
        <v>11</v>
      </c>
      <c r="M28" t="s">
        <v>136</v>
      </c>
      <c r="N28" t="s">
        <v>246</v>
      </c>
      <c r="R28" t="s">
        <v>250</v>
      </c>
      <c r="S28">
        <f>IFERROR(VALUE(RIGHT(LightSpec[[#This Row],[From]],1)), 0)</f>
        <v>0</v>
      </c>
      <c r="T2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9" spans="1:27" hidden="1" x14ac:dyDescent="0.25">
      <c r="A29" t="str">
        <f>LightSpec[[#This Row],[From]]&amp;"-"&amp;LightSpec[[#This Row],[Room]]&amp;"-"&amp;LightSpec[[#This Row],[DiagNo]]</f>
        <v>MCB-FEL-P3</v>
      </c>
      <c r="B29" t="str">
        <f>_xlfn.XLOOKUP(LightSpec[[#This Row],[Room]],Rooms[Code],Rooms[Room])</f>
        <v>Entrance Landing</v>
      </c>
      <c r="C29" t="str">
        <f>_xlfn.XLOOKUP(LightSpec[[#This Row],[Room]],Rooms[Code],Rooms[Floor])</f>
        <v>First</v>
      </c>
      <c r="D29" t="s">
        <v>181</v>
      </c>
      <c r="E29" t="s">
        <v>245</v>
      </c>
      <c r="F29" t="s">
        <v>206</v>
      </c>
      <c r="I29" t="s">
        <v>239</v>
      </c>
      <c r="L29" t="s">
        <v>11</v>
      </c>
      <c r="M29" t="s">
        <v>248</v>
      </c>
      <c r="N29" t="s">
        <v>247</v>
      </c>
      <c r="R29" t="s">
        <v>250</v>
      </c>
      <c r="S29">
        <f>IFERROR(VALUE(RIGHT(LightSpec[[#This Row],[From]],1)), 0)</f>
        <v>0</v>
      </c>
      <c r="T2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0" spans="1:27" hidden="1" x14ac:dyDescent="0.25">
      <c r="A30" t="str">
        <f>LightSpec[[#This Row],[From]]&amp;"-"&amp;LightSpec[[#This Row],[Room]]&amp;"-"&amp;LightSpec[[#This Row],[DiagNo]]</f>
        <v>P1S1-FEL-R1</v>
      </c>
      <c r="B30" t="str">
        <f>_xlfn.XLOOKUP(LightSpec[[#This Row],[Room]],Rooms[Code],Rooms[Room])</f>
        <v>Entrance Landing</v>
      </c>
      <c r="C30" t="str">
        <f>_xlfn.XLOOKUP(LightSpec[[#This Row],[Room]],Rooms[Code],Rooms[Floor])</f>
        <v>First</v>
      </c>
      <c r="D30" t="s">
        <v>181</v>
      </c>
      <c r="E30" t="s">
        <v>251</v>
      </c>
      <c r="F30" t="s">
        <v>305</v>
      </c>
      <c r="G30">
        <v>1</v>
      </c>
      <c r="I30" t="s">
        <v>307</v>
      </c>
      <c r="L30" t="s">
        <v>11</v>
      </c>
      <c r="M30" t="s">
        <v>92</v>
      </c>
      <c r="N30" t="s">
        <v>92</v>
      </c>
      <c r="R30" t="s">
        <v>254</v>
      </c>
      <c r="S30">
        <f>IFERROR(VALUE(RIGHT(LightSpec[[#This Row],[From]],1)), 0)</f>
        <v>1</v>
      </c>
      <c r="T3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Entrance Landing (PIR R1)</v>
      </c>
      <c r="U3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3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P1S1-FEL-R1 (PIR R1)</v>
      </c>
      <c r="Y3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3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1" spans="1:27" hidden="1" x14ac:dyDescent="0.25">
      <c r="A31" t="str">
        <f>LightSpec[[#This Row],[From]]&amp;"-"&amp;LightSpec[[#This Row],[Room]]&amp;"-"&amp;LightSpec[[#This Row],[DiagNo]]</f>
        <v>E1-FEL-A1</v>
      </c>
      <c r="B31" t="str">
        <f>_xlfn.XLOOKUP(LightSpec[[#This Row],[Room]],Rooms[Code],Rooms[Room])</f>
        <v>Entrance Landing</v>
      </c>
      <c r="C31" t="str">
        <f>_xlfn.XLOOKUP(LightSpec[[#This Row],[Room]],Rooms[Code],Rooms[Floor])</f>
        <v>First</v>
      </c>
      <c r="D31" t="s">
        <v>181</v>
      </c>
      <c r="E31" t="s">
        <v>256</v>
      </c>
      <c r="F31" t="s">
        <v>260</v>
      </c>
      <c r="I31" t="s">
        <v>258</v>
      </c>
      <c r="L31" t="s">
        <v>269</v>
      </c>
      <c r="M31" t="s">
        <v>262</v>
      </c>
      <c r="N31" t="s">
        <v>247</v>
      </c>
      <c r="R31" t="s">
        <v>259</v>
      </c>
      <c r="S31">
        <f>IFERROR(VALUE(RIGHT(LightSpec[[#This Row],[From]],1)), 0)</f>
        <v>1</v>
      </c>
      <c r="T3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3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3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3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3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2" spans="1:27" hidden="1" x14ac:dyDescent="0.25">
      <c r="A32" t="str">
        <f>LightSpec[[#This Row],[From]]&amp;"-"&amp;LightSpec[[#This Row],[Room]]&amp;"-"&amp;LightSpec[[#This Row],[DiagNo]]</f>
        <v>E2-FEL-A2</v>
      </c>
      <c r="B32" t="str">
        <f>_xlfn.XLOOKUP(LightSpec[[#This Row],[Room]],Rooms[Code],Rooms[Room])</f>
        <v>Entrance Landing</v>
      </c>
      <c r="C32" t="str">
        <f>_xlfn.XLOOKUP(LightSpec[[#This Row],[Room]],Rooms[Code],Rooms[Floor])</f>
        <v>First</v>
      </c>
      <c r="D32" t="s">
        <v>181</v>
      </c>
      <c r="E32" t="s">
        <v>257</v>
      </c>
      <c r="F32" t="s">
        <v>261</v>
      </c>
      <c r="I32" t="s">
        <v>258</v>
      </c>
      <c r="L32" t="s">
        <v>269</v>
      </c>
      <c r="M32" t="s">
        <v>262</v>
      </c>
      <c r="N32" t="s">
        <v>247</v>
      </c>
      <c r="R32" t="s">
        <v>259</v>
      </c>
      <c r="S32">
        <f>IFERROR(VALUE(RIGHT(LightSpec[[#This Row],[From]],1)), 0)</f>
        <v>2</v>
      </c>
      <c r="T3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3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3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3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3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3" spans="1:27" hidden="1" x14ac:dyDescent="0.25">
      <c r="A33" t="str">
        <f>LightSpec[[#This Row],[From]]&amp;"-"&amp;LightSpec[[#This Row],[Room]]&amp;"-"&amp;LightSpec[[#This Row],[DiagNo]]</f>
        <v>D4O1-GSD-C1</v>
      </c>
      <c r="B33" t="str">
        <f>_xlfn.XLOOKUP(LightSpec[[#This Row],[Room]],Rooms[Code],Rooms[Room])</f>
        <v>Study</v>
      </c>
      <c r="C33" t="str">
        <f>_xlfn.XLOOKUP(LightSpec[[#This Row],[Room]],Rooms[Code],Rooms[Floor])</f>
        <v>Ground</v>
      </c>
      <c r="D33" t="s">
        <v>165</v>
      </c>
      <c r="E33" t="s">
        <v>151</v>
      </c>
      <c r="F33" t="s">
        <v>225</v>
      </c>
      <c r="I33" t="s">
        <v>5</v>
      </c>
      <c r="J33">
        <v>9</v>
      </c>
      <c r="K33">
        <v>7</v>
      </c>
      <c r="L33" t="s">
        <v>11</v>
      </c>
      <c r="M33" t="s">
        <v>136</v>
      </c>
      <c r="N33" t="s">
        <v>140</v>
      </c>
      <c r="O33">
        <v>63</v>
      </c>
      <c r="R33" t="s">
        <v>75</v>
      </c>
      <c r="S33">
        <f>IFERROR(VALUE(RIGHT(LightSpec[[#This Row],[From]],1)), 0)</f>
        <v>1</v>
      </c>
      <c r="T3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3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3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3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3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4" spans="1:27" hidden="1" x14ac:dyDescent="0.25">
      <c r="A34" t="str">
        <f>LightSpec[[#This Row],[From]]&amp;"-"&amp;LightSpec[[#This Row],[Room]]&amp;"-"&amp;LightSpec[[#This Row],[DiagNo]]</f>
        <v>D4O2-GSD-C2</v>
      </c>
      <c r="B34" t="str">
        <f>_xlfn.XLOOKUP(LightSpec[[#This Row],[Room]],Rooms[Code],Rooms[Room])</f>
        <v>Study</v>
      </c>
      <c r="C34" t="str">
        <f>_xlfn.XLOOKUP(LightSpec[[#This Row],[Room]],Rooms[Code],Rooms[Floor])</f>
        <v>Ground</v>
      </c>
      <c r="D34" t="s">
        <v>165</v>
      </c>
      <c r="E34" t="s">
        <v>150</v>
      </c>
      <c r="F34" t="s">
        <v>600</v>
      </c>
      <c r="I34" t="s">
        <v>7</v>
      </c>
      <c r="J34" t="s">
        <v>14</v>
      </c>
      <c r="K34">
        <v>3</v>
      </c>
      <c r="L34" t="s">
        <v>13</v>
      </c>
      <c r="M34" t="s">
        <v>136</v>
      </c>
      <c r="N34" t="s">
        <v>140</v>
      </c>
      <c r="O34" t="s">
        <v>3</v>
      </c>
      <c r="P34" t="s">
        <v>113</v>
      </c>
      <c r="R34" t="s">
        <v>255</v>
      </c>
      <c r="S34">
        <f>IFERROR(VALUE(RIGHT(LightSpec[[#This Row],[From]],1)), 0)</f>
        <v>2</v>
      </c>
      <c r="T3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3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3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3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3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5" spans="1:27" hidden="1" x14ac:dyDescent="0.25">
      <c r="A35" t="str">
        <f>LightSpec[[#This Row],[From]]&amp;"-"&amp;LightSpec[[#This Row],[Room]]&amp;"-"&amp;LightSpec[[#This Row],[DiagNo]]</f>
        <v>D4S1-GSD-S1</v>
      </c>
      <c r="B35" t="str">
        <f>_xlfn.XLOOKUP(LightSpec[[#This Row],[Room]],Rooms[Code],Rooms[Room])</f>
        <v>Study</v>
      </c>
      <c r="C35" t="str">
        <f>_xlfn.XLOOKUP(LightSpec[[#This Row],[Room]],Rooms[Code],Rooms[Floor])</f>
        <v>Ground</v>
      </c>
      <c r="D35" t="s">
        <v>165</v>
      </c>
      <c r="E35" t="s">
        <v>192</v>
      </c>
      <c r="F35" t="s">
        <v>263</v>
      </c>
      <c r="G35">
        <v>2</v>
      </c>
      <c r="H35">
        <v>0</v>
      </c>
      <c r="I35" t="s">
        <v>231</v>
      </c>
      <c r="L35" t="s">
        <v>11</v>
      </c>
      <c r="M35" t="s">
        <v>233</v>
      </c>
      <c r="N35" t="s">
        <v>410</v>
      </c>
      <c r="R35" t="s">
        <v>264</v>
      </c>
      <c r="S35">
        <f>IFERROR(VALUE(RIGHT(LightSpec[[#This Row],[From]],1)), 0)</f>
        <v>1</v>
      </c>
      <c r="T3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Study (Switch S1)</v>
      </c>
      <c r="U3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Study (Switch S1)</v>
      </c>
      <c r="V3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D4S1-GSD-S1 (Switch S1)</v>
      </c>
      <c r="Y3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D4S1-GSD-S1 (Switch S1)</v>
      </c>
      <c r="Z3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6" spans="1:27" hidden="1" x14ac:dyDescent="0.25">
      <c r="A36" t="str">
        <f>LightSpec[[#This Row],[From]]&amp;"-"&amp;LightSpec[[#This Row],[Room]]&amp;"-"&amp;LightSpec[[#This Row],[DiagNo]]</f>
        <v>MCB-GSD-P1</v>
      </c>
      <c r="B36" t="str">
        <f>_xlfn.XLOOKUP(LightSpec[[#This Row],[Room]],Rooms[Code],Rooms[Room])</f>
        <v>Study</v>
      </c>
      <c r="C36" t="str">
        <f>_xlfn.XLOOKUP(LightSpec[[#This Row],[Room]],Rooms[Code],Rooms[Floor])</f>
        <v>Ground</v>
      </c>
      <c r="D36" t="s">
        <v>165</v>
      </c>
      <c r="E36" t="s">
        <v>238</v>
      </c>
      <c r="F36" t="s">
        <v>206</v>
      </c>
      <c r="I36" t="s">
        <v>239</v>
      </c>
      <c r="L36" t="s">
        <v>11</v>
      </c>
      <c r="M36" t="s">
        <v>248</v>
      </c>
      <c r="N36" t="s">
        <v>247</v>
      </c>
      <c r="R36" t="s">
        <v>250</v>
      </c>
      <c r="S36">
        <f>IFERROR(VALUE(RIGHT(LightSpec[[#This Row],[From]],1)), 0)</f>
        <v>0</v>
      </c>
      <c r="T3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3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3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3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3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7" spans="1:27" hidden="1" x14ac:dyDescent="0.25">
      <c r="A37" t="str">
        <f>LightSpec[[#This Row],[From]]&amp;"-"&amp;LightSpec[[#This Row],[Room]]&amp;"-"&amp;LightSpec[[#This Row],[DiagNo]]</f>
        <v>MCB-GSD-P2</v>
      </c>
      <c r="B37" t="str">
        <f>_xlfn.XLOOKUP(LightSpec[[#This Row],[Room]],Rooms[Code],Rooms[Room])</f>
        <v>Study</v>
      </c>
      <c r="C37" t="str">
        <f>_xlfn.XLOOKUP(LightSpec[[#This Row],[Room]],Rooms[Code],Rooms[Floor])</f>
        <v>Ground</v>
      </c>
      <c r="D37" t="s">
        <v>165</v>
      </c>
      <c r="E37" t="s">
        <v>237</v>
      </c>
      <c r="F37" t="s">
        <v>206</v>
      </c>
      <c r="I37" t="s">
        <v>239</v>
      </c>
      <c r="L37" t="s">
        <v>11</v>
      </c>
      <c r="M37" t="s">
        <v>248</v>
      </c>
      <c r="N37" t="s">
        <v>247</v>
      </c>
      <c r="R37" t="s">
        <v>250</v>
      </c>
      <c r="S37">
        <f>IFERROR(VALUE(RIGHT(LightSpec[[#This Row],[From]],1)), 0)</f>
        <v>0</v>
      </c>
      <c r="T3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3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3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3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3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8" spans="1:27" hidden="1" x14ac:dyDescent="0.25">
      <c r="A38" t="str">
        <f>LightSpec[[#This Row],[From]]&amp;"-"&amp;LightSpec[[#This Row],[Room]]&amp;"-"&amp;LightSpec[[#This Row],[DiagNo]]</f>
        <v>MCB-GSD-P3</v>
      </c>
      <c r="B38" t="str">
        <f>_xlfn.XLOOKUP(LightSpec[[#This Row],[Room]],Rooms[Code],Rooms[Room])</f>
        <v>Study</v>
      </c>
      <c r="C38" t="str">
        <f>_xlfn.XLOOKUP(LightSpec[[#This Row],[Room]],Rooms[Code],Rooms[Floor])</f>
        <v>Ground</v>
      </c>
      <c r="D38" t="s">
        <v>165</v>
      </c>
      <c r="E38" t="s">
        <v>245</v>
      </c>
      <c r="F38" t="s">
        <v>206</v>
      </c>
      <c r="I38" t="s">
        <v>239</v>
      </c>
      <c r="L38" t="s">
        <v>11</v>
      </c>
      <c r="M38" t="s">
        <v>248</v>
      </c>
      <c r="N38" t="s">
        <v>247</v>
      </c>
      <c r="R38" t="s">
        <v>250</v>
      </c>
      <c r="S38">
        <f>IFERROR(VALUE(RIGHT(LightSpec[[#This Row],[From]],1)), 0)</f>
        <v>0</v>
      </c>
      <c r="T3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3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3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3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3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39" spans="1:27" hidden="1" x14ac:dyDescent="0.25">
      <c r="A39" t="str">
        <f>LightSpec[[#This Row],[From]]&amp;"-"&amp;LightSpec[[#This Row],[Room]]&amp;"-"&amp;LightSpec[[#This Row],[DiagNo]]</f>
        <v>E10-GSD-D1</v>
      </c>
      <c r="B39" t="str">
        <f>_xlfn.XLOOKUP(LightSpec[[#This Row],[Room]],Rooms[Code],Rooms[Room])</f>
        <v>Study</v>
      </c>
      <c r="C39" t="str">
        <f>_xlfn.XLOOKUP(LightSpec[[#This Row],[Room]],Rooms[Code],Rooms[Floor])</f>
        <v>Ground</v>
      </c>
      <c r="D39" t="s">
        <v>165</v>
      </c>
      <c r="E39" t="s">
        <v>266</v>
      </c>
      <c r="F39" t="s">
        <v>331</v>
      </c>
      <c r="I39" t="s">
        <v>268</v>
      </c>
      <c r="L39" t="s">
        <v>269</v>
      </c>
      <c r="M39" t="s">
        <v>270</v>
      </c>
      <c r="N39" t="s">
        <v>247</v>
      </c>
      <c r="R39" t="s">
        <v>271</v>
      </c>
      <c r="S39">
        <f>IFERROR(VALUE(RIGHT(LightSpec[[#This Row],[From]],1)), 0)</f>
        <v>0</v>
      </c>
      <c r="T3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3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3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3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3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3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3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3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40" spans="1:27" hidden="1" x14ac:dyDescent="0.25">
      <c r="A40" t="str">
        <f>LightSpec[[#This Row],[From]]&amp;"-"&amp;LightSpec[[#This Row],[Room]]&amp;"-"&amp;LightSpec[[#This Row],[DiagNo]]</f>
        <v>D5O1-GLG-C1</v>
      </c>
      <c r="B40" t="str">
        <f>_xlfn.XLOOKUP(LightSpec[[#This Row],[Room]],Rooms[Code],Rooms[Room])</f>
        <v>Lounge</v>
      </c>
      <c r="C40" t="str">
        <f>_xlfn.XLOOKUP(LightSpec[[#This Row],[Room]],Rooms[Code],Rooms[Floor])</f>
        <v>Ground</v>
      </c>
      <c r="D40" t="s">
        <v>166</v>
      </c>
      <c r="E40" t="s">
        <v>151</v>
      </c>
      <c r="F40" t="s">
        <v>226</v>
      </c>
      <c r="I40" t="s">
        <v>23</v>
      </c>
      <c r="J40">
        <v>18</v>
      </c>
      <c r="K40">
        <v>2</v>
      </c>
      <c r="L40" t="s">
        <v>11</v>
      </c>
      <c r="M40" t="s">
        <v>136</v>
      </c>
      <c r="N40" t="s">
        <v>140</v>
      </c>
      <c r="O40">
        <v>36</v>
      </c>
      <c r="R40" t="s">
        <v>76</v>
      </c>
      <c r="S40">
        <f>IFERROR(VALUE(RIGHT(LightSpec[[#This Row],[From]],1)), 0)</f>
        <v>1</v>
      </c>
      <c r="T4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4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4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4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4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4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4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4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41" spans="1:27" hidden="1" x14ac:dyDescent="0.25">
      <c r="A41" t="str">
        <f>LightSpec[[#This Row],[From]]&amp;"-"&amp;LightSpec[[#This Row],[Room]]&amp;"-"&amp;LightSpec[[#This Row],[DiagNo]]</f>
        <v>D5O2-GLG-C2</v>
      </c>
      <c r="B41" t="str">
        <f>_xlfn.XLOOKUP(LightSpec[[#This Row],[Room]],Rooms[Code],Rooms[Room])</f>
        <v>Lounge</v>
      </c>
      <c r="C41" t="str">
        <f>_xlfn.XLOOKUP(LightSpec[[#This Row],[Room]],Rooms[Code],Rooms[Floor])</f>
        <v>Ground</v>
      </c>
      <c r="D41" t="s">
        <v>166</v>
      </c>
      <c r="E41" t="s">
        <v>150</v>
      </c>
      <c r="F41" t="s">
        <v>227</v>
      </c>
      <c r="I41" t="s">
        <v>5</v>
      </c>
      <c r="J41">
        <v>9</v>
      </c>
      <c r="K41">
        <v>12</v>
      </c>
      <c r="L41" t="s">
        <v>11</v>
      </c>
      <c r="M41" t="s">
        <v>136</v>
      </c>
      <c r="N41" t="s">
        <v>140</v>
      </c>
      <c r="O41">
        <v>108</v>
      </c>
      <c r="R41" t="s">
        <v>36</v>
      </c>
      <c r="S41">
        <f>IFERROR(VALUE(RIGHT(LightSpec[[#This Row],[From]],1)), 0)</f>
        <v>2</v>
      </c>
      <c r="T4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4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4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4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4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4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4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4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42" spans="1:27" hidden="1" x14ac:dyDescent="0.25">
      <c r="A42" t="str">
        <f>LightSpec[[#This Row],[From]]&amp;"-"&amp;LightSpec[[#This Row],[Room]]&amp;"-"&amp;LightSpec[[#This Row],[DiagNo]]</f>
        <v>D6O1-GLG-C3</v>
      </c>
      <c r="B42" t="str">
        <f>_xlfn.XLOOKUP(LightSpec[[#This Row],[Room]],Rooms[Code],Rooms[Room])</f>
        <v>Lounge</v>
      </c>
      <c r="C42" t="str">
        <f>_xlfn.XLOOKUP(LightSpec[[#This Row],[Room]],Rooms[Code],Rooms[Floor])</f>
        <v>Ground</v>
      </c>
      <c r="D42" t="s">
        <v>166</v>
      </c>
      <c r="E42" t="s">
        <v>149</v>
      </c>
      <c r="F42" t="s">
        <v>273</v>
      </c>
      <c r="I42" t="s">
        <v>274</v>
      </c>
      <c r="J42" t="s">
        <v>14</v>
      </c>
      <c r="K42" t="s">
        <v>3</v>
      </c>
      <c r="L42" t="s">
        <v>13</v>
      </c>
      <c r="M42" t="s">
        <v>136</v>
      </c>
      <c r="N42" t="s">
        <v>140</v>
      </c>
      <c r="O42" t="s">
        <v>3</v>
      </c>
      <c r="P42" t="s">
        <v>113</v>
      </c>
      <c r="R42" t="s">
        <v>77</v>
      </c>
      <c r="S42">
        <f>IFERROR(VALUE(RIGHT(LightSpec[[#This Row],[From]],1)), 0)</f>
        <v>1</v>
      </c>
      <c r="T4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4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4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4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4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4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4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4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43" spans="1:27" hidden="1" x14ac:dyDescent="0.25">
      <c r="A43" t="str">
        <f>LightSpec[[#This Row],[From]]&amp;"-"&amp;LightSpec[[#This Row],[Room]]&amp;"-"&amp;LightSpec[[#This Row],[DiagNo]]</f>
        <v>D6O2-GLG-C4</v>
      </c>
      <c r="B43" t="str">
        <f>_xlfn.XLOOKUP(LightSpec[[#This Row],[Room]],Rooms[Code],Rooms[Room])</f>
        <v>Lounge</v>
      </c>
      <c r="C43" t="str">
        <f>_xlfn.XLOOKUP(LightSpec[[#This Row],[Room]],Rooms[Code],Rooms[Floor])</f>
        <v>Ground</v>
      </c>
      <c r="D43" t="s">
        <v>166</v>
      </c>
      <c r="E43" t="s">
        <v>148</v>
      </c>
      <c r="F43" t="s">
        <v>272</v>
      </c>
      <c r="I43" t="s">
        <v>275</v>
      </c>
      <c r="J43">
        <v>1</v>
      </c>
      <c r="K43" t="s">
        <v>3</v>
      </c>
      <c r="L43" t="s">
        <v>9</v>
      </c>
      <c r="M43" t="s">
        <v>136</v>
      </c>
      <c r="N43" t="s">
        <v>140</v>
      </c>
      <c r="O43" t="s">
        <v>3</v>
      </c>
      <c r="P43" t="s">
        <v>113</v>
      </c>
      <c r="R43" t="s">
        <v>38</v>
      </c>
      <c r="S43">
        <f>IFERROR(VALUE(RIGHT(LightSpec[[#This Row],[From]],1)), 0)</f>
        <v>2</v>
      </c>
      <c r="T4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4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4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4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4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4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4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4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44" spans="1:27" hidden="1" x14ac:dyDescent="0.25">
      <c r="A44" s="3" t="str">
        <f>LightSpec[[#This Row],[From]]&amp;"-"&amp;LightSpec[[#This Row],[Room]]&amp;"-"&amp;LightSpec[[#This Row],[DiagNo]]</f>
        <v>NA-GLG-C5</v>
      </c>
      <c r="B44" s="3" t="str">
        <f>_xlfn.XLOOKUP(LightSpec[[#This Row],[Room]],Rooms[Code],Rooms[Room])</f>
        <v>Lounge</v>
      </c>
      <c r="C44" s="3" t="str">
        <f>_xlfn.XLOOKUP(LightSpec[[#This Row],[Room]],Rooms[Code],Rooms[Floor])</f>
        <v>Ground</v>
      </c>
      <c r="D44" s="3" t="s">
        <v>166</v>
      </c>
      <c r="E44" s="3" t="s">
        <v>147</v>
      </c>
      <c r="F44" s="3" t="s">
        <v>247</v>
      </c>
      <c r="G44" s="3"/>
      <c r="H44" s="3"/>
      <c r="I44" s="3" t="s">
        <v>283</v>
      </c>
      <c r="J44" s="3">
        <v>3</v>
      </c>
      <c r="K44" s="3">
        <v>2</v>
      </c>
      <c r="L44" s="3" t="s">
        <v>9</v>
      </c>
      <c r="M44" s="3" t="s">
        <v>247</v>
      </c>
      <c r="N44" s="3" t="s">
        <v>247</v>
      </c>
      <c r="O44" s="3" t="s">
        <v>247</v>
      </c>
      <c r="P44" s="3"/>
      <c r="Q44" s="3"/>
      <c r="R44" s="3" t="s">
        <v>281</v>
      </c>
      <c r="S44">
        <f>IFERROR(VALUE(RIGHT(LightSpec[[#This Row],[From]],1)), 0)</f>
        <v>0</v>
      </c>
      <c r="T4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4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4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4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4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4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4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4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45" spans="1:27" hidden="1" x14ac:dyDescent="0.25">
      <c r="A45" s="3" t="str">
        <f>LightSpec[[#This Row],[From]]&amp;"-"&amp;LightSpec[[#This Row],[Room]]&amp;"-"&amp;LightSpec[[#This Row],[DiagNo]]</f>
        <v>MCB-GLG-C6</v>
      </c>
      <c r="B45" s="3" t="str">
        <f>_xlfn.XLOOKUP(LightSpec[[#This Row],[Room]],Rooms[Code],Rooms[Room])</f>
        <v>Lounge</v>
      </c>
      <c r="C45" s="3" t="str">
        <f>_xlfn.XLOOKUP(LightSpec[[#This Row],[Room]],Rooms[Code],Rooms[Floor])</f>
        <v>Ground</v>
      </c>
      <c r="D45" s="3" t="s">
        <v>166</v>
      </c>
      <c r="E45" s="3" t="s">
        <v>146</v>
      </c>
      <c r="F45" s="3" t="s">
        <v>206</v>
      </c>
      <c r="G45" s="3"/>
      <c r="H45" s="3"/>
      <c r="I45" s="3" t="s">
        <v>276</v>
      </c>
      <c r="J45" s="3">
        <v>40</v>
      </c>
      <c r="K45" s="3">
        <v>4</v>
      </c>
      <c r="L45" s="3" t="s">
        <v>11</v>
      </c>
      <c r="M45" s="3" t="s">
        <v>136</v>
      </c>
      <c r="N45" s="3" t="s">
        <v>246</v>
      </c>
      <c r="O45" s="3">
        <v>160</v>
      </c>
      <c r="P45" s="3"/>
      <c r="Q45" s="3"/>
      <c r="R45" s="3" t="s">
        <v>39</v>
      </c>
      <c r="S45">
        <f>IFERROR(VALUE(RIGHT(LightSpec[[#This Row],[From]],1)), 0)</f>
        <v>0</v>
      </c>
      <c r="T4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4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4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4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4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4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4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4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46" spans="1:27" hidden="1" x14ac:dyDescent="0.25">
      <c r="A46" t="str">
        <f>LightSpec[[#This Row],[From]]&amp;"-"&amp;LightSpec[[#This Row],[Room]]&amp;"-"&amp;LightSpec[[#This Row],[DiagNo]]</f>
        <v>D5S1-GLG-S1</v>
      </c>
      <c r="B46" t="str">
        <f>_xlfn.XLOOKUP(LightSpec[[#This Row],[Room]],Rooms[Code],Rooms[Room])</f>
        <v>Lounge</v>
      </c>
      <c r="C46" t="str">
        <f>_xlfn.XLOOKUP(LightSpec[[#This Row],[Room]],Rooms[Code],Rooms[Floor])</f>
        <v>Ground</v>
      </c>
      <c r="D46" t="s">
        <v>166</v>
      </c>
      <c r="E46" t="s">
        <v>192</v>
      </c>
      <c r="F46" t="s">
        <v>278</v>
      </c>
      <c r="G46">
        <v>4</v>
      </c>
      <c r="H46">
        <v>0</v>
      </c>
      <c r="I46" t="s">
        <v>229</v>
      </c>
      <c r="L46" t="s">
        <v>11</v>
      </c>
      <c r="M46" t="s">
        <v>279</v>
      </c>
      <c r="N46" t="s">
        <v>409</v>
      </c>
      <c r="S46">
        <f>IFERROR(VALUE(RIGHT(LightSpec[[#This Row],[From]],1)), 0)</f>
        <v>1</v>
      </c>
      <c r="T4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Lounge (Switch S1)</v>
      </c>
      <c r="U4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Lounge (Switch S1)</v>
      </c>
      <c r="V4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Lounge (Switch S1)</v>
      </c>
      <c r="W4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Lounge (Switch S1)</v>
      </c>
      <c r="X4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D5S1-GLG-S1 (Switch S1)</v>
      </c>
      <c r="Y4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D5S1-GLG-S1 (Switch S1)</v>
      </c>
      <c r="Z4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D5S1-GLG-S1 (Switch S1)</v>
      </c>
      <c r="AA4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D5S1-GLG-S1 (Switch S1)</v>
      </c>
    </row>
    <row r="47" spans="1:27" hidden="1" x14ac:dyDescent="0.25">
      <c r="A47" t="str">
        <f>LightSpec[[#This Row],[From]]&amp;"-"&amp;LightSpec[[#This Row],[Room]]&amp;"-"&amp;LightSpec[[#This Row],[DiagNo]]</f>
        <v>MCB-GLG-P1</v>
      </c>
      <c r="B47" t="str">
        <f>_xlfn.XLOOKUP(LightSpec[[#This Row],[Room]],Rooms[Code],Rooms[Room])</f>
        <v>Lounge</v>
      </c>
      <c r="C47" t="str">
        <f>_xlfn.XLOOKUP(LightSpec[[#This Row],[Room]],Rooms[Code],Rooms[Floor])</f>
        <v>Ground</v>
      </c>
      <c r="D47" t="s">
        <v>166</v>
      </c>
      <c r="E47" t="s">
        <v>238</v>
      </c>
      <c r="F47" t="s">
        <v>206</v>
      </c>
      <c r="I47" t="s">
        <v>450</v>
      </c>
      <c r="L47" t="s">
        <v>11</v>
      </c>
      <c r="M47" t="s">
        <v>248</v>
      </c>
      <c r="N47" t="s">
        <v>247</v>
      </c>
      <c r="R47" t="s">
        <v>250</v>
      </c>
      <c r="S47">
        <f>IFERROR(VALUE(RIGHT(LightSpec[[#This Row],[From]],1)), 0)</f>
        <v>0</v>
      </c>
      <c r="T4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4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4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4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4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4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4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4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48" spans="1:27" hidden="1" x14ac:dyDescent="0.25">
      <c r="A48" t="str">
        <f>LightSpec[[#This Row],[From]]&amp;"-"&amp;LightSpec[[#This Row],[Room]]&amp;"-"&amp;LightSpec[[#This Row],[DiagNo]]</f>
        <v>MCB-GLG-P2</v>
      </c>
      <c r="B48" t="str">
        <f>_xlfn.XLOOKUP(LightSpec[[#This Row],[Room]],Rooms[Code],Rooms[Room])</f>
        <v>Lounge</v>
      </c>
      <c r="C48" t="str">
        <f>_xlfn.XLOOKUP(LightSpec[[#This Row],[Room]],Rooms[Code],Rooms[Floor])</f>
        <v>Ground</v>
      </c>
      <c r="D48" t="s">
        <v>166</v>
      </c>
      <c r="E48" t="s">
        <v>237</v>
      </c>
      <c r="F48" t="s">
        <v>206</v>
      </c>
      <c r="I48" t="s">
        <v>239</v>
      </c>
      <c r="L48" t="s">
        <v>11</v>
      </c>
      <c r="M48" t="s">
        <v>248</v>
      </c>
      <c r="N48" t="s">
        <v>247</v>
      </c>
      <c r="R48" t="s">
        <v>250</v>
      </c>
      <c r="S48">
        <f>IFERROR(VALUE(RIGHT(LightSpec[[#This Row],[From]],1)), 0)</f>
        <v>0</v>
      </c>
      <c r="T4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4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4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4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4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4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4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4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49" spans="1:27" hidden="1" x14ac:dyDescent="0.25">
      <c r="A49" t="str">
        <f>LightSpec[[#This Row],[From]]&amp;"-"&amp;LightSpec[[#This Row],[Room]]&amp;"-"&amp;LightSpec[[#This Row],[DiagNo]]</f>
        <v>MCB-GLG-P3</v>
      </c>
      <c r="B49" t="str">
        <f>_xlfn.XLOOKUP(LightSpec[[#This Row],[Room]],Rooms[Code],Rooms[Room])</f>
        <v>Lounge</v>
      </c>
      <c r="C49" t="str">
        <f>_xlfn.XLOOKUP(LightSpec[[#This Row],[Room]],Rooms[Code],Rooms[Floor])</f>
        <v>Ground</v>
      </c>
      <c r="D49" t="s">
        <v>166</v>
      </c>
      <c r="E49" t="s">
        <v>245</v>
      </c>
      <c r="F49" t="s">
        <v>206</v>
      </c>
      <c r="I49" t="s">
        <v>239</v>
      </c>
      <c r="L49" t="s">
        <v>11</v>
      </c>
      <c r="M49" t="s">
        <v>248</v>
      </c>
      <c r="N49" t="s">
        <v>247</v>
      </c>
      <c r="R49" t="s">
        <v>250</v>
      </c>
      <c r="S49">
        <f>IFERROR(VALUE(RIGHT(LightSpec[[#This Row],[From]],1)), 0)</f>
        <v>0</v>
      </c>
      <c r="T4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4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4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4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4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4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4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4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0" spans="1:27" hidden="1" x14ac:dyDescent="0.25">
      <c r="A50" t="str">
        <f>LightSpec[[#This Row],[From]]&amp;"-"&amp;LightSpec[[#This Row],[Room]]&amp;"-"&amp;LightSpec[[#This Row],[DiagNo]]</f>
        <v>MCB-GLG-P4</v>
      </c>
      <c r="B50" t="str">
        <f>_xlfn.XLOOKUP(LightSpec[[#This Row],[Room]],Rooms[Code],Rooms[Room])</f>
        <v>Lounge</v>
      </c>
      <c r="C50" t="str">
        <f>_xlfn.XLOOKUP(LightSpec[[#This Row],[Room]],Rooms[Code],Rooms[Floor])</f>
        <v>Ground</v>
      </c>
      <c r="D50" t="s">
        <v>166</v>
      </c>
      <c r="E50" t="s">
        <v>294</v>
      </c>
      <c r="F50" t="s">
        <v>206</v>
      </c>
      <c r="I50" t="s">
        <v>451</v>
      </c>
      <c r="L50" t="s">
        <v>11</v>
      </c>
      <c r="M50" t="s">
        <v>248</v>
      </c>
      <c r="N50" t="s">
        <v>247</v>
      </c>
      <c r="R50" t="s">
        <v>250</v>
      </c>
      <c r="S50">
        <f>IFERROR(VALUE(RIGHT(LightSpec[[#This Row],[From]],1)), 0)</f>
        <v>0</v>
      </c>
      <c r="T5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1" spans="1:27" hidden="1" x14ac:dyDescent="0.25">
      <c r="A51" t="str">
        <f>LightSpec[[#This Row],[From]]&amp;"-"&amp;LightSpec[[#This Row],[Room]]&amp;"-"&amp;LightSpec[[#This Row],[DiagNo]]</f>
        <v>E11-GLG-D1</v>
      </c>
      <c r="B51" t="str">
        <f>_xlfn.XLOOKUP(LightSpec[[#This Row],[Room]],Rooms[Code],Rooms[Room])</f>
        <v>Lounge</v>
      </c>
      <c r="C51" t="str">
        <f>_xlfn.XLOOKUP(LightSpec[[#This Row],[Room]],Rooms[Code],Rooms[Floor])</f>
        <v>Ground</v>
      </c>
      <c r="D51" t="s">
        <v>166</v>
      </c>
      <c r="E51" t="s">
        <v>266</v>
      </c>
      <c r="F51" t="s">
        <v>344</v>
      </c>
      <c r="I51" t="s">
        <v>268</v>
      </c>
      <c r="L51" t="s">
        <v>269</v>
      </c>
      <c r="M51" t="s">
        <v>270</v>
      </c>
      <c r="N51" t="s">
        <v>247</v>
      </c>
      <c r="R51" t="s">
        <v>271</v>
      </c>
      <c r="S51">
        <f>IFERROR(VALUE(RIGHT(LightSpec[[#This Row],[From]],1)), 0)</f>
        <v>1</v>
      </c>
      <c r="T5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2" spans="1:27" hidden="1" x14ac:dyDescent="0.25">
      <c r="A52" t="str">
        <f>LightSpec[[#This Row],[From]]&amp;"-"&amp;LightSpec[[#This Row],[Room]]&amp;"-"&amp;LightSpec[[#This Row],[DiagNo]]</f>
        <v>T1-GLG-TV</v>
      </c>
      <c r="B52" t="str">
        <f>_xlfn.XLOOKUP(LightSpec[[#This Row],[Room]],Rooms[Code],Rooms[Room])</f>
        <v>Lounge</v>
      </c>
      <c r="C52" t="str">
        <f>_xlfn.XLOOKUP(LightSpec[[#This Row],[Room]],Rooms[Code],Rooms[Floor])</f>
        <v>Ground</v>
      </c>
      <c r="D52" t="s">
        <v>166</v>
      </c>
      <c r="E52" t="s">
        <v>240</v>
      </c>
      <c r="F52" t="s">
        <v>297</v>
      </c>
      <c r="I52" t="s">
        <v>298</v>
      </c>
      <c r="L52" t="s">
        <v>240</v>
      </c>
      <c r="M52" t="s">
        <v>240</v>
      </c>
      <c r="N52" t="s">
        <v>247</v>
      </c>
      <c r="R52" t="s">
        <v>299</v>
      </c>
      <c r="S52">
        <f>IFERROR(VALUE(RIGHT(LightSpec[[#This Row],[From]],1)), 0)</f>
        <v>1</v>
      </c>
      <c r="T5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3" spans="1:27" hidden="1" x14ac:dyDescent="0.25">
      <c r="A53" t="str">
        <f>LightSpec[[#This Row],[From]]&amp;"-"&amp;LightSpec[[#This Row],[Room]]&amp;"-"&amp;LightSpec[[#This Row],[DiagNo]]</f>
        <v>E3-GLG-A1</v>
      </c>
      <c r="B53" t="str">
        <f>_xlfn.XLOOKUP(LightSpec[[#This Row],[Room]],Rooms[Code],Rooms[Room])</f>
        <v>Lounge</v>
      </c>
      <c r="C53" t="str">
        <f>_xlfn.XLOOKUP(LightSpec[[#This Row],[Room]],Rooms[Code],Rooms[Floor])</f>
        <v>Ground</v>
      </c>
      <c r="D53" t="s">
        <v>166</v>
      </c>
      <c r="E53" t="s">
        <v>256</v>
      </c>
      <c r="F53" t="s">
        <v>267</v>
      </c>
      <c r="I53" t="s">
        <v>258</v>
      </c>
      <c r="L53" t="s">
        <v>269</v>
      </c>
      <c r="M53" t="s">
        <v>262</v>
      </c>
      <c r="N53" t="s">
        <v>247</v>
      </c>
      <c r="R53" t="s">
        <v>259</v>
      </c>
      <c r="S53">
        <f>IFERROR(VALUE(RIGHT(LightSpec[[#This Row],[From]],1)), 0)</f>
        <v>3</v>
      </c>
      <c r="T5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4" spans="1:27" hidden="1" x14ac:dyDescent="0.25">
      <c r="A54" t="str">
        <f>LightSpec[[#This Row],[From]]&amp;"-"&amp;LightSpec[[#This Row],[Room]]&amp;"-"&amp;LightSpec[[#This Row],[DiagNo]]</f>
        <v>MCB-GLG-P5</v>
      </c>
      <c r="B54" t="str">
        <f>_xlfn.XLOOKUP(LightSpec[[#This Row],[Room]],Rooms[Code],Rooms[Room])</f>
        <v>Lounge</v>
      </c>
      <c r="C54" t="str">
        <f>_xlfn.XLOOKUP(LightSpec[[#This Row],[Room]],Rooms[Code],Rooms[Floor])</f>
        <v>Ground</v>
      </c>
      <c r="D54" t="s">
        <v>166</v>
      </c>
      <c r="E54" t="s">
        <v>295</v>
      </c>
      <c r="F54" t="s">
        <v>206</v>
      </c>
      <c r="I54" s="2" t="s">
        <v>397</v>
      </c>
      <c r="L54" t="s">
        <v>11</v>
      </c>
      <c r="M54" t="s">
        <v>398</v>
      </c>
      <c r="S54">
        <f>IFERROR(VALUE(RIGHT(LightSpec[[#This Row],[From]],1)), 0)</f>
        <v>0</v>
      </c>
      <c r="T5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5" spans="1:27" hidden="1" x14ac:dyDescent="0.25">
      <c r="A55" t="str">
        <f>LightSpec[[#This Row],[From]]&amp;"-"&amp;LightSpec[[#This Row],[Room]]&amp;"-"&amp;LightSpec[[#This Row],[DiagNo]]</f>
        <v>D7O1-GKD-C1</v>
      </c>
      <c r="B55" t="str">
        <f>_xlfn.XLOOKUP(LightSpec[[#This Row],[Room]],Rooms[Code],Rooms[Room])</f>
        <v>Dining Kitchen</v>
      </c>
      <c r="C55" t="str">
        <f>_xlfn.XLOOKUP(LightSpec[[#This Row],[Room]],Rooms[Code],Rooms[Floor])</f>
        <v>Ground</v>
      </c>
      <c r="D55" t="s">
        <v>163</v>
      </c>
      <c r="E55" t="s">
        <v>151</v>
      </c>
      <c r="F55" t="s">
        <v>285</v>
      </c>
      <c r="I55" t="s">
        <v>4</v>
      </c>
      <c r="J55">
        <v>60</v>
      </c>
      <c r="K55">
        <v>1</v>
      </c>
      <c r="L55" t="s">
        <v>11</v>
      </c>
      <c r="M55" t="s">
        <v>136</v>
      </c>
      <c r="N55" t="s">
        <v>140</v>
      </c>
      <c r="O55">
        <v>60</v>
      </c>
      <c r="R55" t="s">
        <v>25</v>
      </c>
      <c r="S55">
        <f>IFERROR(VALUE(RIGHT(LightSpec[[#This Row],[From]],1)), 0)</f>
        <v>1</v>
      </c>
      <c r="T5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6" spans="1:27" hidden="1" x14ac:dyDescent="0.25">
      <c r="A56" t="str">
        <f>LightSpec[[#This Row],[From]]&amp;"-"&amp;LightSpec[[#This Row],[Room]]&amp;"-"&amp;LightSpec[[#This Row],[DiagNo]]</f>
        <v>D7O2-GKD-C2</v>
      </c>
      <c r="B56" t="str">
        <f>_xlfn.XLOOKUP(LightSpec[[#This Row],[Room]],Rooms[Code],Rooms[Room])</f>
        <v>Dining Kitchen</v>
      </c>
      <c r="C56" t="str">
        <f>_xlfn.XLOOKUP(LightSpec[[#This Row],[Room]],Rooms[Code],Rooms[Floor])</f>
        <v>Ground</v>
      </c>
      <c r="D56" t="s">
        <v>163</v>
      </c>
      <c r="E56" t="s">
        <v>150</v>
      </c>
      <c r="F56" t="s">
        <v>286</v>
      </c>
      <c r="I56" t="s">
        <v>4</v>
      </c>
      <c r="J56">
        <v>60</v>
      </c>
      <c r="K56">
        <v>2</v>
      </c>
      <c r="L56" t="s">
        <v>11</v>
      </c>
      <c r="M56" t="s">
        <v>136</v>
      </c>
      <c r="N56" t="s">
        <v>140</v>
      </c>
      <c r="O56">
        <v>120</v>
      </c>
      <c r="R56" t="s">
        <v>44</v>
      </c>
      <c r="S56">
        <f>IFERROR(VALUE(RIGHT(LightSpec[[#This Row],[From]],1)), 0)</f>
        <v>2</v>
      </c>
      <c r="T5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7" spans="1:27" hidden="1" x14ac:dyDescent="0.25">
      <c r="A57" t="str">
        <f>LightSpec[[#This Row],[From]]&amp;"-"&amp;LightSpec[[#This Row],[Room]]&amp;"-"&amp;LightSpec[[#This Row],[DiagNo]]</f>
        <v>D8O1-GKD-C3</v>
      </c>
      <c r="B57" t="str">
        <f>_xlfn.XLOOKUP(LightSpec[[#This Row],[Room]],Rooms[Code],Rooms[Room])</f>
        <v>Dining Kitchen</v>
      </c>
      <c r="C57" t="str">
        <f>_xlfn.XLOOKUP(LightSpec[[#This Row],[Room]],Rooms[Code],Rooms[Floor])</f>
        <v>Ground</v>
      </c>
      <c r="D57" t="s">
        <v>163</v>
      </c>
      <c r="E57" t="s">
        <v>149</v>
      </c>
      <c r="F57" t="s">
        <v>287</v>
      </c>
      <c r="I57" t="s">
        <v>5</v>
      </c>
      <c r="J57">
        <v>9</v>
      </c>
      <c r="K57">
        <v>10</v>
      </c>
      <c r="L57" t="s">
        <v>11</v>
      </c>
      <c r="M57" t="s">
        <v>136</v>
      </c>
      <c r="N57" t="s">
        <v>140</v>
      </c>
      <c r="O57">
        <v>90</v>
      </c>
      <c r="R57" t="s">
        <v>45</v>
      </c>
      <c r="S57">
        <f>IFERROR(VALUE(RIGHT(LightSpec[[#This Row],[From]],1)), 0)</f>
        <v>1</v>
      </c>
      <c r="T5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8" spans="1:27" hidden="1" x14ac:dyDescent="0.25">
      <c r="A58" t="str">
        <f>LightSpec[[#This Row],[From]]&amp;"-"&amp;LightSpec[[#This Row],[Room]]&amp;"-"&amp;LightSpec[[#This Row],[DiagNo]]</f>
        <v>D8O2-GKD-C4</v>
      </c>
      <c r="B58" t="str">
        <f>_xlfn.XLOOKUP(LightSpec[[#This Row],[Room]],Rooms[Code],Rooms[Room])</f>
        <v>Dining Kitchen</v>
      </c>
      <c r="C58" t="str">
        <f>_xlfn.XLOOKUP(LightSpec[[#This Row],[Room]],Rooms[Code],Rooms[Floor])</f>
        <v>Ground</v>
      </c>
      <c r="D58" t="s">
        <v>163</v>
      </c>
      <c r="E58" t="s">
        <v>148</v>
      </c>
      <c r="F58" t="s">
        <v>288</v>
      </c>
      <c r="I58" t="s">
        <v>5</v>
      </c>
      <c r="J58">
        <v>9</v>
      </c>
      <c r="K58">
        <v>5</v>
      </c>
      <c r="L58" t="s">
        <v>11</v>
      </c>
      <c r="M58" t="s">
        <v>136</v>
      </c>
      <c r="N58" t="s">
        <v>140</v>
      </c>
      <c r="O58">
        <v>45</v>
      </c>
      <c r="R58" t="s">
        <v>46</v>
      </c>
      <c r="S58">
        <f>IFERROR(VALUE(RIGHT(LightSpec[[#This Row],[From]],1)), 0)</f>
        <v>2</v>
      </c>
      <c r="T5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59" spans="1:27" hidden="1" x14ac:dyDescent="0.25">
      <c r="A59" s="3" t="str">
        <f>LightSpec[[#This Row],[From]]&amp;"-"&amp;LightSpec[[#This Row],[Room]]&amp;"-"&amp;LightSpec[[#This Row],[DiagNo]]</f>
        <v>NA-GKD-C5</v>
      </c>
      <c r="B59" s="3" t="str">
        <f>_xlfn.XLOOKUP(LightSpec[[#This Row],[Room]],Rooms[Code],Rooms[Room])</f>
        <v>Dining Kitchen</v>
      </c>
      <c r="C59" s="3" t="str">
        <f>_xlfn.XLOOKUP(LightSpec[[#This Row],[Room]],Rooms[Code],Rooms[Floor])</f>
        <v>Ground</v>
      </c>
      <c r="D59" s="3" t="s">
        <v>163</v>
      </c>
      <c r="E59" s="3" t="s">
        <v>147</v>
      </c>
      <c r="F59" s="3" t="s">
        <v>247</v>
      </c>
      <c r="G59" s="3"/>
      <c r="H59" s="3"/>
      <c r="I59" s="3" t="s">
        <v>284</v>
      </c>
      <c r="J59" s="3">
        <v>9</v>
      </c>
      <c r="K59" s="3">
        <v>1</v>
      </c>
      <c r="L59" s="3" t="s">
        <v>11</v>
      </c>
      <c r="M59" s="3" t="s">
        <v>247</v>
      </c>
      <c r="N59" s="3" t="s">
        <v>247</v>
      </c>
      <c r="O59" s="3" t="s">
        <v>247</v>
      </c>
      <c r="P59" s="3"/>
      <c r="Q59" s="3"/>
      <c r="R59" s="3" t="s">
        <v>47</v>
      </c>
      <c r="S59">
        <f>IFERROR(VALUE(RIGHT(LightSpec[[#This Row],[From]],1)), 0)</f>
        <v>0</v>
      </c>
      <c r="T5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5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5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5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5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5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5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5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0" spans="1:27" hidden="1" x14ac:dyDescent="0.25">
      <c r="A60" t="str">
        <f>LightSpec[[#This Row],[From]]&amp;"-"&amp;LightSpec[[#This Row],[Room]]&amp;"-"&amp;LightSpec[[#This Row],[DiagNo]]</f>
        <v>D9O1-GKD-C6</v>
      </c>
      <c r="B60" t="str">
        <f>_xlfn.XLOOKUP(LightSpec[[#This Row],[Room]],Rooms[Code],Rooms[Room])</f>
        <v>Dining Kitchen</v>
      </c>
      <c r="C60" t="str">
        <f>_xlfn.XLOOKUP(LightSpec[[#This Row],[Room]],Rooms[Code],Rooms[Floor])</f>
        <v>Ground</v>
      </c>
      <c r="D60" t="s">
        <v>163</v>
      </c>
      <c r="E60" t="s">
        <v>146</v>
      </c>
      <c r="F60" t="s">
        <v>289</v>
      </c>
      <c r="I60" t="s">
        <v>7</v>
      </c>
      <c r="J60" t="s">
        <v>14</v>
      </c>
      <c r="K60">
        <v>2</v>
      </c>
      <c r="L60" t="s">
        <v>13</v>
      </c>
      <c r="M60" t="s">
        <v>136</v>
      </c>
      <c r="N60" t="s">
        <v>140</v>
      </c>
      <c r="O60" t="s">
        <v>3</v>
      </c>
      <c r="P60" t="s">
        <v>113</v>
      </c>
      <c r="R60" t="s">
        <v>48</v>
      </c>
      <c r="S60">
        <f>IFERROR(VALUE(RIGHT(LightSpec[[#This Row],[From]],1)), 0)</f>
        <v>1</v>
      </c>
      <c r="T6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1" spans="1:27" hidden="1" x14ac:dyDescent="0.25">
      <c r="A61" t="str">
        <f>LightSpec[[#This Row],[From]]&amp;"-"&amp;LightSpec[[#This Row],[Room]]&amp;"-"&amp;LightSpec[[#This Row],[DiagNo]]</f>
        <v>P4O1-GKD-C7</v>
      </c>
      <c r="B61" t="str">
        <f>_xlfn.XLOOKUP(LightSpec[[#This Row],[Room]],Rooms[Code],Rooms[Room])</f>
        <v>Dining Kitchen</v>
      </c>
      <c r="C61" t="str">
        <f>_xlfn.XLOOKUP(LightSpec[[#This Row],[Room]],Rooms[Code],Rooms[Floor])</f>
        <v>Ground</v>
      </c>
      <c r="D61" t="s">
        <v>163</v>
      </c>
      <c r="E61" t="s">
        <v>145</v>
      </c>
      <c r="F61" t="s">
        <v>277</v>
      </c>
      <c r="I61" t="s">
        <v>6</v>
      </c>
      <c r="J61">
        <v>3</v>
      </c>
      <c r="K61" s="2">
        <v>8</v>
      </c>
      <c r="L61" t="s">
        <v>9</v>
      </c>
      <c r="M61" t="s">
        <v>115</v>
      </c>
      <c r="N61" t="s">
        <v>139</v>
      </c>
      <c r="O61">
        <v>24</v>
      </c>
      <c r="P61" t="s">
        <v>113</v>
      </c>
      <c r="R61" t="s">
        <v>282</v>
      </c>
      <c r="S61">
        <f>IFERROR(VALUE(RIGHT(LightSpec[[#This Row],[From]],1)), 0)</f>
        <v>1</v>
      </c>
      <c r="T6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2" spans="1:27" hidden="1" x14ac:dyDescent="0.25">
      <c r="A62" t="str">
        <f>LightSpec[[#This Row],[From]]&amp;"-"&amp;LightSpec[[#This Row],[Room]]&amp;"-"&amp;LightSpec[[#This Row],[DiagNo]]</f>
        <v>D9O2-GKD-C8</v>
      </c>
      <c r="B62" t="str">
        <f>_xlfn.XLOOKUP(LightSpec[[#This Row],[Room]],Rooms[Code],Rooms[Room])</f>
        <v>Dining Kitchen</v>
      </c>
      <c r="C62" t="str">
        <f>_xlfn.XLOOKUP(LightSpec[[#This Row],[Room]],Rooms[Code],Rooms[Floor])</f>
        <v>Ground</v>
      </c>
      <c r="D62" t="s">
        <v>163</v>
      </c>
      <c r="E62" t="s">
        <v>142</v>
      </c>
      <c r="F62" t="s">
        <v>290</v>
      </c>
      <c r="I62" t="s">
        <v>7</v>
      </c>
      <c r="J62" t="s">
        <v>14</v>
      </c>
      <c r="K62" t="s">
        <v>24</v>
      </c>
      <c r="L62" t="s">
        <v>13</v>
      </c>
      <c r="M62" t="s">
        <v>136</v>
      </c>
      <c r="N62" t="s">
        <v>140</v>
      </c>
      <c r="O62" t="s">
        <v>3</v>
      </c>
      <c r="P62" t="s">
        <v>113</v>
      </c>
      <c r="R62" t="s">
        <v>87</v>
      </c>
      <c r="S62">
        <f>IFERROR(VALUE(RIGHT(LightSpec[[#This Row],[From]],1)), 0)</f>
        <v>2</v>
      </c>
      <c r="T6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3" spans="1:27" hidden="1" x14ac:dyDescent="0.25">
      <c r="A63" t="str">
        <f>LightSpec[[#This Row],[From]]&amp;"-"&amp;LightSpec[[#This Row],[Room]]&amp;"-"&amp;LightSpec[[#This Row],[DiagNo]]</f>
        <v>D10O1-GKD-C9</v>
      </c>
      <c r="B63" t="str">
        <f>_xlfn.XLOOKUP(LightSpec[[#This Row],[Room]],Rooms[Code],Rooms[Room])</f>
        <v>Dining Kitchen</v>
      </c>
      <c r="C63" t="str">
        <f>_xlfn.XLOOKUP(LightSpec[[#This Row],[Room]],Rooms[Code],Rooms[Floor])</f>
        <v>Ground</v>
      </c>
      <c r="D63" t="s">
        <v>163</v>
      </c>
      <c r="E63" t="s">
        <v>143</v>
      </c>
      <c r="F63" t="s">
        <v>291</v>
      </c>
      <c r="I63" t="s">
        <v>37</v>
      </c>
      <c r="J63">
        <v>3</v>
      </c>
      <c r="K63">
        <v>3</v>
      </c>
      <c r="L63" t="s">
        <v>9</v>
      </c>
      <c r="M63" t="s">
        <v>136</v>
      </c>
      <c r="N63" t="s">
        <v>140</v>
      </c>
      <c r="O63">
        <v>9</v>
      </c>
      <c r="P63" t="s">
        <v>113</v>
      </c>
      <c r="R63" t="s">
        <v>78</v>
      </c>
      <c r="S63">
        <f>IFERROR(VALUE(RIGHT(LightSpec[[#This Row],[From]],1)), 0)</f>
        <v>1</v>
      </c>
      <c r="T6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4" spans="1:27" hidden="1" x14ac:dyDescent="0.25">
      <c r="A64" s="3" t="str">
        <f>LightSpec[[#This Row],[From]]&amp;"-"&amp;LightSpec[[#This Row],[Room]]&amp;"-"&amp;LightSpec[[#This Row],[DiagNo]]</f>
        <v>NA-GKD-C10</v>
      </c>
      <c r="B64" s="3" t="str">
        <f>_xlfn.XLOOKUP(LightSpec[[#This Row],[Room]],Rooms[Code],Rooms[Room])</f>
        <v>Dining Kitchen</v>
      </c>
      <c r="C64" s="3" t="str">
        <f>_xlfn.XLOOKUP(LightSpec[[#This Row],[Room]],Rooms[Code],Rooms[Floor])</f>
        <v>Ground</v>
      </c>
      <c r="D64" s="3" t="s">
        <v>163</v>
      </c>
      <c r="E64" s="3" t="s">
        <v>144</v>
      </c>
      <c r="F64" s="3" t="s">
        <v>247</v>
      </c>
      <c r="G64" s="3"/>
      <c r="H64" s="3"/>
      <c r="I64" s="3" t="s">
        <v>293</v>
      </c>
      <c r="J64" s="3"/>
      <c r="K64" s="3"/>
      <c r="L64" s="3"/>
      <c r="M64" s="3" t="s">
        <v>247</v>
      </c>
      <c r="N64" s="3" t="s">
        <v>247</v>
      </c>
      <c r="O64" s="3" t="s">
        <v>247</v>
      </c>
      <c r="P64" s="3"/>
      <c r="Q64" s="3"/>
      <c r="R64" s="3" t="s">
        <v>88</v>
      </c>
      <c r="S64">
        <f>IFERROR(VALUE(RIGHT(LightSpec[[#This Row],[From]],1)), 0)</f>
        <v>0</v>
      </c>
      <c r="T6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5" spans="1:27" hidden="1" x14ac:dyDescent="0.25">
      <c r="A65" t="str">
        <f>LightSpec[[#This Row],[From]]&amp;"-"&amp;LightSpec[[#This Row],[Room]]&amp;"-"&amp;LightSpec[[#This Row],[DiagNo]]</f>
        <v>MCB-GKD-P1</v>
      </c>
      <c r="B65" t="str">
        <f>_xlfn.XLOOKUP(LightSpec[[#This Row],[Room]],Rooms[Code],Rooms[Room])</f>
        <v>Dining Kitchen</v>
      </c>
      <c r="C65" t="str">
        <f>_xlfn.XLOOKUP(LightSpec[[#This Row],[Room]],Rooms[Code],Rooms[Floor])</f>
        <v>Ground</v>
      </c>
      <c r="D65" t="s">
        <v>163</v>
      </c>
      <c r="E65" t="s">
        <v>238</v>
      </c>
      <c r="F65" t="s">
        <v>206</v>
      </c>
      <c r="I65" t="s">
        <v>239</v>
      </c>
      <c r="L65" t="s">
        <v>11</v>
      </c>
      <c r="M65" t="s">
        <v>248</v>
      </c>
      <c r="N65" t="s">
        <v>247</v>
      </c>
      <c r="R65" t="s">
        <v>250</v>
      </c>
      <c r="S65">
        <f>IFERROR(VALUE(RIGHT(LightSpec[[#This Row],[From]],1)), 0)</f>
        <v>0</v>
      </c>
      <c r="T6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6" spans="1:27" hidden="1" x14ac:dyDescent="0.25">
      <c r="A66" t="str">
        <f>LightSpec[[#This Row],[From]]&amp;"-"&amp;LightSpec[[#This Row],[Room]]&amp;"-"&amp;LightSpec[[#This Row],[DiagNo]]</f>
        <v>MCB-GKD-P2</v>
      </c>
      <c r="B66" t="str">
        <f>_xlfn.XLOOKUP(LightSpec[[#This Row],[Room]],Rooms[Code],Rooms[Room])</f>
        <v>Dining Kitchen</v>
      </c>
      <c r="C66" t="str">
        <f>_xlfn.XLOOKUP(LightSpec[[#This Row],[Room]],Rooms[Code],Rooms[Floor])</f>
        <v>Ground</v>
      </c>
      <c r="D66" t="s">
        <v>163</v>
      </c>
      <c r="E66" t="s">
        <v>237</v>
      </c>
      <c r="F66" t="s">
        <v>206</v>
      </c>
      <c r="I66" t="s">
        <v>239</v>
      </c>
      <c r="L66" t="s">
        <v>11</v>
      </c>
      <c r="M66" t="s">
        <v>248</v>
      </c>
      <c r="N66" t="s">
        <v>247</v>
      </c>
      <c r="R66" t="s">
        <v>250</v>
      </c>
      <c r="S66">
        <f>IFERROR(VALUE(RIGHT(LightSpec[[#This Row],[From]],1)), 0)</f>
        <v>0</v>
      </c>
      <c r="T6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7" spans="1:27" hidden="1" x14ac:dyDescent="0.25">
      <c r="A67" t="str">
        <f>LightSpec[[#This Row],[From]]&amp;"-"&amp;LightSpec[[#This Row],[Room]]&amp;"-"&amp;LightSpec[[#This Row],[DiagNo]]</f>
        <v>MCB-GKD-P3</v>
      </c>
      <c r="B67" t="str">
        <f>_xlfn.XLOOKUP(LightSpec[[#This Row],[Room]],Rooms[Code],Rooms[Room])</f>
        <v>Dining Kitchen</v>
      </c>
      <c r="C67" t="str">
        <f>_xlfn.XLOOKUP(LightSpec[[#This Row],[Room]],Rooms[Code],Rooms[Floor])</f>
        <v>Ground</v>
      </c>
      <c r="D67" t="s">
        <v>163</v>
      </c>
      <c r="E67" t="s">
        <v>245</v>
      </c>
      <c r="F67" t="s">
        <v>206</v>
      </c>
      <c r="I67" t="s">
        <v>239</v>
      </c>
      <c r="L67" t="s">
        <v>11</v>
      </c>
      <c r="M67" t="s">
        <v>248</v>
      </c>
      <c r="N67" t="s">
        <v>247</v>
      </c>
      <c r="R67" t="s">
        <v>250</v>
      </c>
      <c r="S67">
        <f>IFERROR(VALUE(RIGHT(LightSpec[[#This Row],[From]],1)), 0)</f>
        <v>0</v>
      </c>
      <c r="T6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8" spans="1:27" hidden="1" x14ac:dyDescent="0.25">
      <c r="A68" t="str">
        <f>LightSpec[[#This Row],[From]]&amp;"-"&amp;LightSpec[[#This Row],[Room]]&amp;"-"&amp;LightSpec[[#This Row],[DiagNo]]</f>
        <v>MCB-GKD-P4</v>
      </c>
      <c r="B68" t="str">
        <f>_xlfn.XLOOKUP(LightSpec[[#This Row],[Room]],Rooms[Code],Rooms[Room])</f>
        <v>Dining Kitchen</v>
      </c>
      <c r="C68" t="str">
        <f>_xlfn.XLOOKUP(LightSpec[[#This Row],[Room]],Rooms[Code],Rooms[Floor])</f>
        <v>Ground</v>
      </c>
      <c r="D68" t="s">
        <v>163</v>
      </c>
      <c r="E68" t="s">
        <v>294</v>
      </c>
      <c r="F68" t="s">
        <v>206</v>
      </c>
      <c r="I68" t="s">
        <v>239</v>
      </c>
      <c r="L68" t="s">
        <v>11</v>
      </c>
      <c r="M68" t="s">
        <v>248</v>
      </c>
      <c r="N68" t="s">
        <v>247</v>
      </c>
      <c r="R68" t="s">
        <v>250</v>
      </c>
      <c r="S68">
        <f>IFERROR(VALUE(RIGHT(LightSpec[[#This Row],[From]],1)), 0)</f>
        <v>0</v>
      </c>
      <c r="T6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69" spans="1:27" hidden="1" x14ac:dyDescent="0.25">
      <c r="A69" t="str">
        <f>LightSpec[[#This Row],[From]]&amp;"-"&amp;LightSpec[[#This Row],[Room]]&amp;"-"&amp;LightSpec[[#This Row],[DiagNo]]</f>
        <v>MCB-GKD-P5</v>
      </c>
      <c r="B69" t="str">
        <f>_xlfn.XLOOKUP(LightSpec[[#This Row],[Room]],Rooms[Code],Rooms[Room])</f>
        <v>Dining Kitchen</v>
      </c>
      <c r="C69" t="str">
        <f>_xlfn.XLOOKUP(LightSpec[[#This Row],[Room]],Rooms[Code],Rooms[Floor])</f>
        <v>Ground</v>
      </c>
      <c r="D69" t="s">
        <v>163</v>
      </c>
      <c r="E69" t="s">
        <v>295</v>
      </c>
      <c r="F69" t="s">
        <v>206</v>
      </c>
      <c r="I69" t="s">
        <v>239</v>
      </c>
      <c r="L69" t="s">
        <v>11</v>
      </c>
      <c r="M69" t="s">
        <v>248</v>
      </c>
      <c r="N69" t="s">
        <v>247</v>
      </c>
      <c r="R69" t="s">
        <v>250</v>
      </c>
      <c r="S69">
        <f>IFERROR(VALUE(RIGHT(LightSpec[[#This Row],[From]],1)), 0)</f>
        <v>0</v>
      </c>
      <c r="T6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6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6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6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6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6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6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6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70" spans="1:27" hidden="1" x14ac:dyDescent="0.25">
      <c r="A70" t="str">
        <f>LightSpec[[#This Row],[From]]&amp;"-"&amp;LightSpec[[#This Row],[Room]]&amp;"-"&amp;LightSpec[[#This Row],[DiagNo]]</f>
        <v>D7S1-GKD-S1</v>
      </c>
      <c r="B70" t="str">
        <f>_xlfn.XLOOKUP(LightSpec[[#This Row],[Room]],Rooms[Code],Rooms[Room])</f>
        <v>Dining Kitchen</v>
      </c>
      <c r="C70" t="str">
        <f>_xlfn.XLOOKUP(LightSpec[[#This Row],[Room]],Rooms[Code],Rooms[Floor])</f>
        <v>Ground</v>
      </c>
      <c r="D70" t="s">
        <v>163</v>
      </c>
      <c r="E70" t="s">
        <v>192</v>
      </c>
      <c r="F70" t="s">
        <v>300</v>
      </c>
      <c r="G70">
        <v>4</v>
      </c>
      <c r="H70">
        <v>0</v>
      </c>
      <c r="I70" t="s">
        <v>229</v>
      </c>
      <c r="L70" t="s">
        <v>11</v>
      </c>
      <c r="M70" t="s">
        <v>279</v>
      </c>
      <c r="N70" t="s">
        <v>409</v>
      </c>
      <c r="S70">
        <f>IFERROR(VALUE(RIGHT(LightSpec[[#This Row],[From]],1)), 0)</f>
        <v>1</v>
      </c>
      <c r="T7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Dining Kitchen (Switch S1)</v>
      </c>
      <c r="U7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Dining Kitchen (Switch S1)</v>
      </c>
      <c r="V7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Dining Kitchen (Switch S1)</v>
      </c>
      <c r="W7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Dining Kitchen (Switch S1)</v>
      </c>
      <c r="X7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D7S1-GKD-S1 (Switch S1)</v>
      </c>
      <c r="Y7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D7S1-GKD-S1 (Switch S1)</v>
      </c>
      <c r="Z7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D7S1-GKD-S1 (Switch S1)</v>
      </c>
      <c r="AA7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D7S1-GKD-S1 (Switch S1)</v>
      </c>
    </row>
    <row r="71" spans="1:27" hidden="1" x14ac:dyDescent="0.25">
      <c r="A71" t="str">
        <f>LightSpec[[#This Row],[From]]&amp;"-"&amp;LightSpec[[#This Row],[Room]]&amp;"-"&amp;LightSpec[[#This Row],[DiagNo]]</f>
        <v>D8S1-GKD-S2</v>
      </c>
      <c r="B71" t="str">
        <f>_xlfn.XLOOKUP(LightSpec[[#This Row],[Room]],Rooms[Code],Rooms[Room])</f>
        <v>Dining Kitchen</v>
      </c>
      <c r="C71" t="str">
        <f>_xlfn.XLOOKUP(LightSpec[[#This Row],[Room]],Rooms[Code],Rooms[Floor])</f>
        <v>Ground</v>
      </c>
      <c r="D71" t="s">
        <v>163</v>
      </c>
      <c r="E71" t="s">
        <v>193</v>
      </c>
      <c r="F71" t="s">
        <v>301</v>
      </c>
      <c r="G71">
        <v>4</v>
      </c>
      <c r="H71">
        <v>0</v>
      </c>
      <c r="I71" t="s">
        <v>229</v>
      </c>
      <c r="L71" t="s">
        <v>11</v>
      </c>
      <c r="M71" t="s">
        <v>279</v>
      </c>
      <c r="N71" t="s">
        <v>409</v>
      </c>
      <c r="S71">
        <f>IFERROR(VALUE(RIGHT(LightSpec[[#This Row],[From]],1)), 0)</f>
        <v>1</v>
      </c>
      <c r="T7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Dining Kitchen (Switch S2)</v>
      </c>
      <c r="U7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Dining Kitchen (Switch S2)</v>
      </c>
      <c r="V7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Dining Kitchen (Switch S2)</v>
      </c>
      <c r="W7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Dining Kitchen (Switch S2)</v>
      </c>
      <c r="X7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D8S1-GKD-S2 (Switch S2)</v>
      </c>
      <c r="Y7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D8S1-GKD-S2 (Switch S2)</v>
      </c>
      <c r="Z7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D8S1-GKD-S2 (Switch S2)</v>
      </c>
      <c r="AA7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D8S1-GKD-S2 (Switch S2)</v>
      </c>
    </row>
    <row r="72" spans="1:27" hidden="1" x14ac:dyDescent="0.25">
      <c r="A72" s="1" t="str">
        <f>LightSpec[[#This Row],[From]]&amp;"-"&amp;LightSpec[[#This Row],[Room]]&amp;"-"&amp;LightSpec[[#This Row],[DiagNo]]</f>
        <v>D6S1-GKD-S3</v>
      </c>
      <c r="B72" t="str">
        <f>_xlfn.XLOOKUP(LightSpec[[#This Row],[Room]],Rooms[Code],Rooms[Room])</f>
        <v>Dining Kitchen</v>
      </c>
      <c r="C72" t="str">
        <f>_xlfn.XLOOKUP(LightSpec[[#This Row],[Room]],Rooms[Code],Rooms[Floor])</f>
        <v>Ground</v>
      </c>
      <c r="D72" t="s">
        <v>163</v>
      </c>
      <c r="E72" t="s">
        <v>194</v>
      </c>
      <c r="F72" s="1" t="s">
        <v>661</v>
      </c>
      <c r="G72">
        <v>4</v>
      </c>
      <c r="H72">
        <v>0</v>
      </c>
      <c r="I72" t="s">
        <v>229</v>
      </c>
      <c r="L72" t="s">
        <v>11</v>
      </c>
      <c r="M72" t="s">
        <v>279</v>
      </c>
      <c r="N72" t="s">
        <v>409</v>
      </c>
      <c r="S72">
        <f>IFERROR(VALUE(RIGHT(LightSpec[[#This Row],[From]],1)), 0)</f>
        <v>1</v>
      </c>
      <c r="T7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Dining Kitchen (Switch S3)</v>
      </c>
      <c r="U7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Dining Kitchen (Switch S3)</v>
      </c>
      <c r="V7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Dining Kitchen (Switch S3)</v>
      </c>
      <c r="W7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Dining Kitchen (Switch S3)</v>
      </c>
      <c r="X7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D6S1-GKD-S3 (Switch S3)</v>
      </c>
      <c r="Y7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D6S1-GKD-S3 (Switch S3)</v>
      </c>
      <c r="Z7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D6S1-GKD-S3 (Switch S3)</v>
      </c>
      <c r="AA7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D6S1-GKD-S3 (Switch S3)</v>
      </c>
    </row>
    <row r="73" spans="1:27" hidden="1" x14ac:dyDescent="0.25">
      <c r="A73" t="str">
        <f>LightSpec[[#This Row],[From]]&amp;"-"&amp;LightSpec[[#This Row],[Room]]&amp;"-"&amp;LightSpec[[#This Row],[DiagNo]]</f>
        <v>E4-GKD-A1</v>
      </c>
      <c r="B73" t="str">
        <f>_xlfn.XLOOKUP(LightSpec[[#This Row],[Room]],Rooms[Code],Rooms[Room])</f>
        <v>Dining Kitchen</v>
      </c>
      <c r="C73" t="str">
        <f>_xlfn.XLOOKUP(LightSpec[[#This Row],[Room]],Rooms[Code],Rooms[Floor])</f>
        <v>Ground</v>
      </c>
      <c r="D73" t="s">
        <v>163</v>
      </c>
      <c r="E73" t="s">
        <v>256</v>
      </c>
      <c r="F73" t="s">
        <v>296</v>
      </c>
      <c r="I73" t="s">
        <v>258</v>
      </c>
      <c r="L73" t="s">
        <v>269</v>
      </c>
      <c r="M73" t="s">
        <v>262</v>
      </c>
      <c r="N73" t="s">
        <v>247</v>
      </c>
      <c r="R73" t="s">
        <v>259</v>
      </c>
      <c r="S73">
        <f>IFERROR(VALUE(RIGHT(LightSpec[[#This Row],[From]],1)), 0)</f>
        <v>4</v>
      </c>
      <c r="T7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7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7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7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7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7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7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7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74" spans="1:27" hidden="1" x14ac:dyDescent="0.25">
      <c r="A74" t="str">
        <f>LightSpec[[#This Row],[From]]&amp;"-"&amp;LightSpec[[#This Row],[Room]]&amp;"-"&amp;LightSpec[[#This Row],[DiagNo]]</f>
        <v>MCB-GKD-P6</v>
      </c>
      <c r="B74" t="str">
        <f>_xlfn.XLOOKUP(LightSpec[[#This Row],[Room]],Rooms[Code],Rooms[Room])</f>
        <v>Dining Kitchen</v>
      </c>
      <c r="C74" t="str">
        <f>_xlfn.XLOOKUP(LightSpec[[#This Row],[Room]],Rooms[Code],Rooms[Floor])</f>
        <v>Ground</v>
      </c>
      <c r="D74" t="s">
        <v>163</v>
      </c>
      <c r="E74" t="s">
        <v>394</v>
      </c>
      <c r="F74" t="s">
        <v>206</v>
      </c>
      <c r="I74" s="2" t="s">
        <v>397</v>
      </c>
      <c r="L74" t="s">
        <v>11</v>
      </c>
      <c r="M74" t="s">
        <v>398</v>
      </c>
      <c r="S74">
        <f>IFERROR(VALUE(RIGHT(LightSpec[[#This Row],[From]],1)), 0)</f>
        <v>0</v>
      </c>
      <c r="T7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7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7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7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7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7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7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7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75" spans="1:27" hidden="1" x14ac:dyDescent="0.25">
      <c r="A75" t="str">
        <f>LightSpec[[#This Row],[From]]&amp;"-"&amp;LightSpec[[#This Row],[Room]]&amp;"-"&amp;LightSpec[[#This Row],[DiagNo]]</f>
        <v>MCB-GKD-P7</v>
      </c>
      <c r="B75" t="str">
        <f>_xlfn.XLOOKUP(LightSpec[[#This Row],[Room]],Rooms[Code],Rooms[Room])</f>
        <v>Dining Kitchen</v>
      </c>
      <c r="C75" t="str">
        <f>_xlfn.XLOOKUP(LightSpec[[#This Row],[Room]],Rooms[Code],Rooms[Floor])</f>
        <v>Ground</v>
      </c>
      <c r="D75" t="s">
        <v>163</v>
      </c>
      <c r="E75" t="s">
        <v>395</v>
      </c>
      <c r="F75" t="s">
        <v>206</v>
      </c>
      <c r="I75" s="2" t="s">
        <v>397</v>
      </c>
      <c r="L75" t="s">
        <v>11</v>
      </c>
      <c r="M75" t="s">
        <v>398</v>
      </c>
      <c r="S75">
        <f>IFERROR(VALUE(RIGHT(LightSpec[[#This Row],[From]],1)), 0)</f>
        <v>0</v>
      </c>
      <c r="T7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7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7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7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7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7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7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7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76" spans="1:27" hidden="1" x14ac:dyDescent="0.25">
      <c r="A76" t="str">
        <f>LightSpec[[#This Row],[From]]&amp;"-"&amp;LightSpec[[#This Row],[Room]]&amp;"-"&amp;LightSpec[[#This Row],[DiagNo]]</f>
        <v>MCB-GKD-P8</v>
      </c>
      <c r="B76" t="str">
        <f>_xlfn.XLOOKUP(LightSpec[[#This Row],[Room]],Rooms[Code],Rooms[Room])</f>
        <v>Dining Kitchen</v>
      </c>
      <c r="C76" t="str">
        <f>_xlfn.XLOOKUP(LightSpec[[#This Row],[Room]],Rooms[Code],Rooms[Floor])</f>
        <v>Ground</v>
      </c>
      <c r="D76" t="s">
        <v>163</v>
      </c>
      <c r="E76" t="s">
        <v>396</v>
      </c>
      <c r="F76" t="s">
        <v>206</v>
      </c>
      <c r="I76" s="2" t="s">
        <v>397</v>
      </c>
      <c r="L76" t="s">
        <v>11</v>
      </c>
      <c r="M76" t="s">
        <v>398</v>
      </c>
      <c r="S76">
        <f>IFERROR(VALUE(RIGHT(LightSpec[[#This Row],[From]],1)), 0)</f>
        <v>0</v>
      </c>
      <c r="T7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7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7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7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7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7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7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7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77" spans="1:27" hidden="1" x14ac:dyDescent="0.25">
      <c r="A77" t="str">
        <f>LightSpec[[#This Row],[From]]&amp;"-"&amp;LightSpec[[#This Row],[Room]]&amp;"-"&amp;LightSpec[[#This Row],[DiagNo]]</f>
        <v>D10O2-GPR-C1</v>
      </c>
      <c r="B77" t="str">
        <f>_xlfn.XLOOKUP(LightSpec[[#This Row],[Room]],Rooms[Code],Rooms[Room])</f>
        <v>Pantry</v>
      </c>
      <c r="C77" t="str">
        <f>_xlfn.XLOOKUP(LightSpec[[#This Row],[Room]],Rooms[Code],Rooms[Floor])</f>
        <v>Ground</v>
      </c>
      <c r="D77" t="s">
        <v>164</v>
      </c>
      <c r="E77" t="s">
        <v>151</v>
      </c>
      <c r="F77" t="s">
        <v>292</v>
      </c>
      <c r="I77" t="s">
        <v>5</v>
      </c>
      <c r="J77">
        <v>9</v>
      </c>
      <c r="K77">
        <v>6</v>
      </c>
      <c r="L77" t="s">
        <v>11</v>
      </c>
      <c r="M77" t="s">
        <v>136</v>
      </c>
      <c r="N77" t="s">
        <v>140</v>
      </c>
      <c r="O77">
        <v>54</v>
      </c>
      <c r="R77" t="s">
        <v>49</v>
      </c>
      <c r="S77">
        <f>IFERROR(VALUE(RIGHT(LightSpec[[#This Row],[From]],1)), 0)</f>
        <v>2</v>
      </c>
      <c r="T7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7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7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7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7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7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7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7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78" spans="1:27" hidden="1" x14ac:dyDescent="0.25">
      <c r="A78" t="str">
        <f>LightSpec[[#This Row],[From]]&amp;"-"&amp;LightSpec[[#This Row],[Room]]&amp;"-"&amp;LightSpec[[#This Row],[DiagNo]]</f>
        <v>D11O1-GPR-C2</v>
      </c>
      <c r="B78" t="str">
        <f>_xlfn.XLOOKUP(LightSpec[[#This Row],[Room]],Rooms[Code],Rooms[Room])</f>
        <v>Pantry</v>
      </c>
      <c r="C78" t="str">
        <f>_xlfn.XLOOKUP(LightSpec[[#This Row],[Room]],Rooms[Code],Rooms[Floor])</f>
        <v>Ground</v>
      </c>
      <c r="D78" t="s">
        <v>164</v>
      </c>
      <c r="E78" t="s">
        <v>150</v>
      </c>
      <c r="F78" t="s">
        <v>302</v>
      </c>
      <c r="I78" t="s">
        <v>7</v>
      </c>
      <c r="J78" t="s">
        <v>14</v>
      </c>
      <c r="K78" t="s">
        <v>3</v>
      </c>
      <c r="L78" t="s">
        <v>13</v>
      </c>
      <c r="M78" t="s">
        <v>136</v>
      </c>
      <c r="N78" t="s">
        <v>140</v>
      </c>
      <c r="O78" t="s">
        <v>3</v>
      </c>
      <c r="P78" t="s">
        <v>113</v>
      </c>
      <c r="R78" t="s">
        <v>21</v>
      </c>
      <c r="S78">
        <f>IFERROR(VALUE(RIGHT(LightSpec[[#This Row],[From]],1)), 0)</f>
        <v>1</v>
      </c>
      <c r="T7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7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7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7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7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7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7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7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79" spans="1:27" hidden="1" x14ac:dyDescent="0.25">
      <c r="A79" t="str">
        <f>LightSpec[[#This Row],[From]]&amp;"-"&amp;LightSpec[[#This Row],[Room]]&amp;"-"&amp;LightSpec[[#This Row],[DiagNo]]</f>
        <v>MCB-GPR-P1</v>
      </c>
      <c r="B79" t="str">
        <f>_xlfn.XLOOKUP(LightSpec[[#This Row],[Room]],Rooms[Code],Rooms[Room])</f>
        <v>Pantry</v>
      </c>
      <c r="C79" t="str">
        <f>_xlfn.XLOOKUP(LightSpec[[#This Row],[Room]],Rooms[Code],Rooms[Floor])</f>
        <v>Ground</v>
      </c>
      <c r="D79" t="s">
        <v>164</v>
      </c>
      <c r="E79" t="s">
        <v>238</v>
      </c>
      <c r="F79" t="s">
        <v>206</v>
      </c>
      <c r="I79" t="s">
        <v>239</v>
      </c>
      <c r="L79" t="s">
        <v>11</v>
      </c>
      <c r="M79" t="s">
        <v>248</v>
      </c>
      <c r="N79" t="s">
        <v>247</v>
      </c>
      <c r="R79" t="s">
        <v>250</v>
      </c>
      <c r="S79">
        <f>IFERROR(VALUE(RIGHT(LightSpec[[#This Row],[From]],1)), 0)</f>
        <v>0</v>
      </c>
      <c r="T7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7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7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7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7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7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7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7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80" spans="1:27" hidden="1" x14ac:dyDescent="0.25">
      <c r="A80" t="str">
        <f>LightSpec[[#This Row],[From]]&amp;"-"&amp;LightSpec[[#This Row],[Room]]&amp;"-"&amp;LightSpec[[#This Row],[DiagNo]]</f>
        <v>MCB-GPR-P2</v>
      </c>
      <c r="B80" t="str">
        <f>_xlfn.XLOOKUP(LightSpec[[#This Row],[Room]],Rooms[Code],Rooms[Room])</f>
        <v>Pantry</v>
      </c>
      <c r="C80" t="str">
        <f>_xlfn.XLOOKUP(LightSpec[[#This Row],[Room]],Rooms[Code],Rooms[Floor])</f>
        <v>Ground</v>
      </c>
      <c r="D80" t="s">
        <v>164</v>
      </c>
      <c r="E80" t="s">
        <v>237</v>
      </c>
      <c r="F80" t="s">
        <v>206</v>
      </c>
      <c r="I80" t="s">
        <v>239</v>
      </c>
      <c r="L80" t="s">
        <v>11</v>
      </c>
      <c r="M80" t="s">
        <v>248</v>
      </c>
      <c r="N80" t="s">
        <v>247</v>
      </c>
      <c r="R80" t="s">
        <v>250</v>
      </c>
      <c r="S80">
        <f>IFERROR(VALUE(RIGHT(LightSpec[[#This Row],[From]],1)), 0)</f>
        <v>0</v>
      </c>
      <c r="T8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8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8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8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8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8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8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8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81" spans="1:27" hidden="1" x14ac:dyDescent="0.25">
      <c r="A81" t="str">
        <f>LightSpec[[#This Row],[From]]&amp;"-"&amp;LightSpec[[#This Row],[Room]]&amp;"-"&amp;LightSpec[[#This Row],[DiagNo]]</f>
        <v>E12-GPR-D1</v>
      </c>
      <c r="B81" t="str">
        <f>_xlfn.XLOOKUP(LightSpec[[#This Row],[Room]],Rooms[Code],Rooms[Room])</f>
        <v>Pantry</v>
      </c>
      <c r="C81" t="str">
        <f>_xlfn.XLOOKUP(LightSpec[[#This Row],[Room]],Rooms[Code],Rooms[Floor])</f>
        <v>Ground</v>
      </c>
      <c r="D81" t="s">
        <v>164</v>
      </c>
      <c r="E81" t="s">
        <v>266</v>
      </c>
      <c r="F81" t="s">
        <v>356</v>
      </c>
      <c r="I81" t="s">
        <v>268</v>
      </c>
      <c r="L81" t="s">
        <v>269</v>
      </c>
      <c r="M81" t="s">
        <v>270</v>
      </c>
      <c r="N81" t="s">
        <v>247</v>
      </c>
      <c r="R81" t="s">
        <v>271</v>
      </c>
      <c r="S81">
        <f>IFERROR(VALUE(RIGHT(LightSpec[[#This Row],[From]],1)), 0)</f>
        <v>2</v>
      </c>
      <c r="T8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8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8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8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8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8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8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8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82" spans="1:27" hidden="1" x14ac:dyDescent="0.25">
      <c r="A82" t="str">
        <f>LightSpec[[#This Row],[From]]&amp;"-"&amp;LightSpec[[#This Row],[Room]]&amp;"-"&amp;LightSpec[[#This Row],[DiagNo]]</f>
        <v>D11S1-GPR-S1</v>
      </c>
      <c r="B82" t="str">
        <f>_xlfn.XLOOKUP(LightSpec[[#This Row],[Room]],Rooms[Code],Rooms[Room])</f>
        <v>Pantry</v>
      </c>
      <c r="C82" t="str">
        <f>_xlfn.XLOOKUP(LightSpec[[#This Row],[Room]],Rooms[Code],Rooms[Floor])</f>
        <v>Ground</v>
      </c>
      <c r="D82" t="s">
        <v>164</v>
      </c>
      <c r="E82" t="s">
        <v>192</v>
      </c>
      <c r="F82" s="1" t="s">
        <v>660</v>
      </c>
      <c r="G82">
        <v>4</v>
      </c>
      <c r="H82">
        <v>0</v>
      </c>
      <c r="I82" t="s">
        <v>229</v>
      </c>
      <c r="L82" t="s">
        <v>11</v>
      </c>
      <c r="M82" t="s">
        <v>279</v>
      </c>
      <c r="N82" t="s">
        <v>409</v>
      </c>
      <c r="S82">
        <f>IFERROR(VALUE(RIGHT(LightSpec[[#This Row],[From]],1)), 0)</f>
        <v>1</v>
      </c>
      <c r="T8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Pantry (Switch S1)</v>
      </c>
      <c r="U8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Pantry (Switch S1)</v>
      </c>
      <c r="V8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Pantry (Switch S1)</v>
      </c>
      <c r="W8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Pantry (Switch S1)</v>
      </c>
      <c r="X8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D11S1-GPR-S1 (Switch S1)</v>
      </c>
      <c r="Y8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D11S1-GPR-S1 (Switch S1)</v>
      </c>
      <c r="Z8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D11S1-GPR-S1 (Switch S1)</v>
      </c>
      <c r="AA8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D11S1-GPR-S1 (Switch S1)</v>
      </c>
    </row>
    <row r="83" spans="1:27" hidden="1" x14ac:dyDescent="0.25">
      <c r="A83" t="str">
        <f>LightSpec[[#This Row],[From]]&amp;"-"&amp;LightSpec[[#This Row],[Room]]&amp;"-"&amp;LightSpec[[#This Row],[DiagNo]]</f>
        <v>D11O2-GLR-C1</v>
      </c>
      <c r="B83" t="str">
        <f>_xlfn.XLOOKUP(LightSpec[[#This Row],[Room]],Rooms[Code],Rooms[Room])</f>
        <v>Laundry</v>
      </c>
      <c r="C83" t="str">
        <f>_xlfn.XLOOKUP(LightSpec[[#This Row],[Room]],Rooms[Code],Rooms[Floor])</f>
        <v>Ground</v>
      </c>
      <c r="D83" t="s">
        <v>156</v>
      </c>
      <c r="E83" t="s">
        <v>151</v>
      </c>
      <c r="F83" t="s">
        <v>303</v>
      </c>
      <c r="I83" t="s">
        <v>5</v>
      </c>
      <c r="J83">
        <v>9</v>
      </c>
      <c r="K83">
        <v>8</v>
      </c>
      <c r="L83" t="s">
        <v>11</v>
      </c>
      <c r="M83" t="s">
        <v>136</v>
      </c>
      <c r="N83" t="s">
        <v>140</v>
      </c>
      <c r="O83">
        <v>72</v>
      </c>
      <c r="Q83" t="s">
        <v>113</v>
      </c>
      <c r="R83" t="s">
        <v>50</v>
      </c>
      <c r="S83">
        <f>IFERROR(VALUE(RIGHT(LightSpec[[#This Row],[From]],1)), 0)</f>
        <v>2</v>
      </c>
      <c r="T8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8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8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8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8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8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8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8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84" spans="1:27" hidden="1" x14ac:dyDescent="0.25">
      <c r="A84" t="str">
        <f>LightSpec[[#This Row],[From]]&amp;"-"&amp;LightSpec[[#This Row],[Room]]&amp;"-"&amp;LightSpec[[#This Row],[DiagNo]]</f>
        <v>MCB-GLR-P1</v>
      </c>
      <c r="B84" t="str">
        <f>_xlfn.XLOOKUP(LightSpec[[#This Row],[Room]],Rooms[Code],Rooms[Room])</f>
        <v>Laundry</v>
      </c>
      <c r="C84" t="str">
        <f>_xlfn.XLOOKUP(LightSpec[[#This Row],[Room]],Rooms[Code],Rooms[Floor])</f>
        <v>Ground</v>
      </c>
      <c r="D84" t="s">
        <v>156</v>
      </c>
      <c r="E84" t="s">
        <v>238</v>
      </c>
      <c r="F84" t="s">
        <v>206</v>
      </c>
      <c r="I84" t="s">
        <v>239</v>
      </c>
      <c r="L84" t="s">
        <v>11</v>
      </c>
      <c r="M84" t="s">
        <v>248</v>
      </c>
      <c r="N84" t="s">
        <v>247</v>
      </c>
      <c r="R84" t="s">
        <v>250</v>
      </c>
      <c r="S84">
        <f>IFERROR(VALUE(RIGHT(LightSpec[[#This Row],[From]],1)), 0)</f>
        <v>0</v>
      </c>
      <c r="T8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8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8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8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8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8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8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8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85" spans="1:27" hidden="1" x14ac:dyDescent="0.25">
      <c r="A85" t="str">
        <f>LightSpec[[#This Row],[From]]&amp;"-"&amp;LightSpec[[#This Row],[Room]]&amp;"-"&amp;LightSpec[[#This Row],[DiagNo]]</f>
        <v>MCB-GLR-P2</v>
      </c>
      <c r="B85" t="str">
        <f>_xlfn.XLOOKUP(LightSpec[[#This Row],[Room]],Rooms[Code],Rooms[Room])</f>
        <v>Laundry</v>
      </c>
      <c r="C85" t="str">
        <f>_xlfn.XLOOKUP(LightSpec[[#This Row],[Room]],Rooms[Code],Rooms[Floor])</f>
        <v>Ground</v>
      </c>
      <c r="D85" t="s">
        <v>156</v>
      </c>
      <c r="E85" t="s">
        <v>237</v>
      </c>
      <c r="F85" t="s">
        <v>206</v>
      </c>
      <c r="I85" t="s">
        <v>239</v>
      </c>
      <c r="L85" t="s">
        <v>11</v>
      </c>
      <c r="M85" t="s">
        <v>248</v>
      </c>
      <c r="N85" t="s">
        <v>247</v>
      </c>
      <c r="R85" t="s">
        <v>250</v>
      </c>
      <c r="S85">
        <f>IFERROR(VALUE(RIGHT(LightSpec[[#This Row],[From]],1)), 0)</f>
        <v>0</v>
      </c>
      <c r="T8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8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8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8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8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8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8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8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86" spans="1:27" hidden="1" x14ac:dyDescent="0.25">
      <c r="A86" t="str">
        <f>LightSpec[[#This Row],[From]]&amp;"-"&amp;LightSpec[[#This Row],[Room]]&amp;"-"&amp;LightSpec[[#This Row],[DiagNo]]</f>
        <v>MCB-GLR-P3</v>
      </c>
      <c r="B86" t="str">
        <f>_xlfn.XLOOKUP(LightSpec[[#This Row],[Room]],Rooms[Code],Rooms[Room])</f>
        <v>Laundry</v>
      </c>
      <c r="C86" t="str">
        <f>_xlfn.XLOOKUP(LightSpec[[#This Row],[Room]],Rooms[Code],Rooms[Floor])</f>
        <v>Ground</v>
      </c>
      <c r="D86" t="s">
        <v>156</v>
      </c>
      <c r="E86" t="s">
        <v>245</v>
      </c>
      <c r="F86" t="s">
        <v>206</v>
      </c>
      <c r="I86" t="s">
        <v>239</v>
      </c>
      <c r="L86" t="s">
        <v>11</v>
      </c>
      <c r="M86" t="s">
        <v>248</v>
      </c>
      <c r="N86" t="s">
        <v>247</v>
      </c>
      <c r="R86" t="s">
        <v>250</v>
      </c>
      <c r="S86">
        <f>IFERROR(VALUE(RIGHT(LightSpec[[#This Row],[From]],1)), 0)</f>
        <v>0</v>
      </c>
      <c r="T8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8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8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8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8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8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8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8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87" spans="1:27" hidden="1" x14ac:dyDescent="0.25">
      <c r="A87" t="str">
        <f>LightSpec[[#This Row],[From]]&amp;"-"&amp;LightSpec[[#This Row],[Room]]&amp;"-"&amp;LightSpec[[#This Row],[DiagNo]]</f>
        <v>MCB-GLR-P4</v>
      </c>
      <c r="B87" t="str">
        <f>_xlfn.XLOOKUP(LightSpec[[#This Row],[Room]],Rooms[Code],Rooms[Room])</f>
        <v>Laundry</v>
      </c>
      <c r="C87" t="str">
        <f>_xlfn.XLOOKUP(LightSpec[[#This Row],[Room]],Rooms[Code],Rooms[Floor])</f>
        <v>Ground</v>
      </c>
      <c r="D87" t="s">
        <v>156</v>
      </c>
      <c r="E87" t="s">
        <v>294</v>
      </c>
      <c r="F87" t="s">
        <v>206</v>
      </c>
      <c r="I87" t="s">
        <v>239</v>
      </c>
      <c r="L87" t="s">
        <v>11</v>
      </c>
      <c r="M87" t="s">
        <v>248</v>
      </c>
      <c r="N87" t="s">
        <v>247</v>
      </c>
      <c r="R87" t="s">
        <v>250</v>
      </c>
      <c r="S87">
        <f>IFERROR(VALUE(RIGHT(LightSpec[[#This Row],[From]],1)), 0)</f>
        <v>0</v>
      </c>
      <c r="T8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8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8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8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8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8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8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8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88" spans="1:27" hidden="1" x14ac:dyDescent="0.25">
      <c r="A88" t="str">
        <f>LightSpec[[#This Row],[From]]&amp;"-"&amp;LightSpec[[#This Row],[Room]]&amp;"-"&amp;LightSpec[[#This Row],[DiagNo]]</f>
        <v>P1S2-GLR-R1</v>
      </c>
      <c r="B88" t="str">
        <f>_xlfn.XLOOKUP(LightSpec[[#This Row],[Room]],Rooms[Code],Rooms[Room])</f>
        <v>Laundry</v>
      </c>
      <c r="C88" t="str">
        <f>_xlfn.XLOOKUP(LightSpec[[#This Row],[Room]],Rooms[Code],Rooms[Floor])</f>
        <v>Ground</v>
      </c>
      <c r="D88" t="s">
        <v>156</v>
      </c>
      <c r="E88" t="s">
        <v>251</v>
      </c>
      <c r="F88" t="s">
        <v>306</v>
      </c>
      <c r="G88">
        <v>1</v>
      </c>
      <c r="I88" t="s">
        <v>308</v>
      </c>
      <c r="L88" t="s">
        <v>11</v>
      </c>
      <c r="M88" t="s">
        <v>92</v>
      </c>
      <c r="N88" t="s">
        <v>92</v>
      </c>
      <c r="R88" t="s">
        <v>254</v>
      </c>
      <c r="S88">
        <f>IFERROR(VALUE(RIGHT(LightSpec[[#This Row],[From]],1)), 0)</f>
        <v>2</v>
      </c>
      <c r="T8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8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Laundry (PIR R1)</v>
      </c>
      <c r="V8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8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8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8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P1S2-GLR-R1 (PIR R1)</v>
      </c>
      <c r="Z8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8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89" spans="1:27" hidden="1" x14ac:dyDescent="0.25">
      <c r="A89" t="str">
        <f>LightSpec[[#This Row],[From]]&amp;"-"&amp;LightSpec[[#This Row],[Room]]&amp;"-"&amp;LightSpec[[#This Row],[DiagNo]]</f>
        <v>D12O1-GPT-C1</v>
      </c>
      <c r="B89" t="str">
        <f>_xlfn.XLOOKUP(LightSpec[[#This Row],[Room]],Rooms[Code],Rooms[Room])</f>
        <v>Plant Room</v>
      </c>
      <c r="C89" t="str">
        <f>_xlfn.XLOOKUP(LightSpec[[#This Row],[Room]],Rooms[Code],Rooms[Floor])</f>
        <v>Ground</v>
      </c>
      <c r="D89" t="s">
        <v>178</v>
      </c>
      <c r="E89" t="s">
        <v>151</v>
      </c>
      <c r="F89" t="s">
        <v>316</v>
      </c>
      <c r="I89" t="s">
        <v>23</v>
      </c>
      <c r="J89">
        <v>18</v>
      </c>
      <c r="K89">
        <v>3</v>
      </c>
      <c r="L89" t="s">
        <v>11</v>
      </c>
      <c r="M89" t="s">
        <v>136</v>
      </c>
      <c r="N89" t="s">
        <v>140</v>
      </c>
      <c r="O89">
        <v>54</v>
      </c>
      <c r="Q89" t="s">
        <v>113</v>
      </c>
      <c r="R89" t="s">
        <v>51</v>
      </c>
      <c r="S89">
        <f>IFERROR(VALUE(RIGHT(LightSpec[[#This Row],[From]],1)), 0)</f>
        <v>1</v>
      </c>
      <c r="T8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8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8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8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8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8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8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8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90" spans="1:27" hidden="1" x14ac:dyDescent="0.25">
      <c r="A90" t="str">
        <f>LightSpec[[#This Row],[From]]&amp;"-"&amp;LightSpec[[#This Row],[Room]]&amp;"-"&amp;LightSpec[[#This Row],[DiagNo]]</f>
        <v>D12O2-GPT-C2</v>
      </c>
      <c r="B90" t="str">
        <f>_xlfn.XLOOKUP(LightSpec[[#This Row],[Room]],Rooms[Code],Rooms[Room])</f>
        <v>Plant Room</v>
      </c>
      <c r="C90" t="str">
        <f>_xlfn.XLOOKUP(LightSpec[[#This Row],[Room]],Rooms[Code],Rooms[Floor])</f>
        <v>Ground</v>
      </c>
      <c r="D90" t="s">
        <v>178</v>
      </c>
      <c r="E90" t="s">
        <v>150</v>
      </c>
      <c r="F90" t="s">
        <v>317</v>
      </c>
      <c r="I90" t="s">
        <v>18</v>
      </c>
      <c r="J90">
        <v>40</v>
      </c>
      <c r="K90">
        <v>1</v>
      </c>
      <c r="L90" t="s">
        <v>11</v>
      </c>
      <c r="M90" t="s">
        <v>136</v>
      </c>
      <c r="N90" t="s">
        <v>140</v>
      </c>
      <c r="O90">
        <v>40</v>
      </c>
      <c r="R90" t="s">
        <v>318</v>
      </c>
      <c r="S90">
        <f>IFERROR(VALUE(RIGHT(LightSpec[[#This Row],[From]],1)), 0)</f>
        <v>2</v>
      </c>
      <c r="T9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9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9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9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9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9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9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9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91" spans="1:27" hidden="1" x14ac:dyDescent="0.25">
      <c r="A91" t="str">
        <f>LightSpec[[#This Row],[From]]&amp;"-"&amp;LightSpec[[#This Row],[Room]]&amp;"-"&amp;LightSpec[[#This Row],[DiagNo]]</f>
        <v>MCB-GPT-P1</v>
      </c>
      <c r="B91" t="str">
        <f>_xlfn.XLOOKUP(LightSpec[[#This Row],[Room]],Rooms[Code],Rooms[Room])</f>
        <v>Plant Room</v>
      </c>
      <c r="C91" t="str">
        <f>_xlfn.XLOOKUP(LightSpec[[#This Row],[Room]],Rooms[Code],Rooms[Floor])</f>
        <v>Ground</v>
      </c>
      <c r="D91" t="s">
        <v>178</v>
      </c>
      <c r="E91" t="s">
        <v>238</v>
      </c>
      <c r="F91" t="s">
        <v>206</v>
      </c>
      <c r="I91" t="s">
        <v>239</v>
      </c>
      <c r="L91" t="s">
        <v>11</v>
      </c>
      <c r="M91" t="s">
        <v>248</v>
      </c>
      <c r="N91" t="s">
        <v>247</v>
      </c>
      <c r="R91" t="s">
        <v>250</v>
      </c>
      <c r="S91">
        <f>IFERROR(VALUE(RIGHT(LightSpec[[#This Row],[From]],1)), 0)</f>
        <v>0</v>
      </c>
      <c r="T9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9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9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9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9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9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9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9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92" spans="1:27" hidden="1" x14ac:dyDescent="0.25">
      <c r="A92" t="str">
        <f>LightSpec[[#This Row],[From]]&amp;"-"&amp;LightSpec[[#This Row],[Room]]&amp;"-"&amp;LightSpec[[#This Row],[DiagNo]]</f>
        <v>MCB-GPT-P2</v>
      </c>
      <c r="B92" t="str">
        <f>_xlfn.XLOOKUP(LightSpec[[#This Row],[Room]],Rooms[Code],Rooms[Room])</f>
        <v>Plant Room</v>
      </c>
      <c r="C92" t="str">
        <f>_xlfn.XLOOKUP(LightSpec[[#This Row],[Room]],Rooms[Code],Rooms[Floor])</f>
        <v>Ground</v>
      </c>
      <c r="D92" t="s">
        <v>178</v>
      </c>
      <c r="E92" t="s">
        <v>237</v>
      </c>
      <c r="F92" t="s">
        <v>206</v>
      </c>
      <c r="I92" t="s">
        <v>239</v>
      </c>
      <c r="L92" t="s">
        <v>11</v>
      </c>
      <c r="M92" t="s">
        <v>248</v>
      </c>
      <c r="N92" t="s">
        <v>247</v>
      </c>
      <c r="R92" t="s">
        <v>250</v>
      </c>
      <c r="S92">
        <f>IFERROR(VALUE(RIGHT(LightSpec[[#This Row],[From]],1)), 0)</f>
        <v>0</v>
      </c>
      <c r="T9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9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9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9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9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9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9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9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93" spans="1:27" hidden="1" x14ac:dyDescent="0.25">
      <c r="A93" t="str">
        <f>LightSpec[[#This Row],[From]]&amp;"-"&amp;LightSpec[[#This Row],[Room]]&amp;"-"&amp;LightSpec[[#This Row],[DiagNo]]</f>
        <v>MCB-GPT-P3</v>
      </c>
      <c r="B93" t="str">
        <f>_xlfn.XLOOKUP(LightSpec[[#This Row],[Room]],Rooms[Code],Rooms[Room])</f>
        <v>Plant Room</v>
      </c>
      <c r="C93" t="str">
        <f>_xlfn.XLOOKUP(LightSpec[[#This Row],[Room]],Rooms[Code],Rooms[Floor])</f>
        <v>Ground</v>
      </c>
      <c r="D93" t="s">
        <v>178</v>
      </c>
      <c r="E93" t="s">
        <v>245</v>
      </c>
      <c r="F93" t="s">
        <v>206</v>
      </c>
      <c r="I93" t="s">
        <v>239</v>
      </c>
      <c r="L93" t="s">
        <v>11</v>
      </c>
      <c r="M93" t="s">
        <v>248</v>
      </c>
      <c r="N93" t="s">
        <v>247</v>
      </c>
      <c r="R93" t="s">
        <v>250</v>
      </c>
      <c r="S93">
        <f>IFERROR(VALUE(RIGHT(LightSpec[[#This Row],[From]],1)), 0)</f>
        <v>0</v>
      </c>
      <c r="T9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9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9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9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9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9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9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9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94" spans="1:27" hidden="1" x14ac:dyDescent="0.25">
      <c r="A94" t="str">
        <f>LightSpec[[#This Row],[From]]&amp;"-"&amp;LightSpec[[#This Row],[Room]]&amp;"-"&amp;LightSpec[[#This Row],[DiagNo]]</f>
        <v>MCB-GPT-P4</v>
      </c>
      <c r="B94" t="str">
        <f>_xlfn.XLOOKUP(LightSpec[[#This Row],[Room]],Rooms[Code],Rooms[Room])</f>
        <v>Plant Room</v>
      </c>
      <c r="C94" t="str">
        <f>_xlfn.XLOOKUP(LightSpec[[#This Row],[Room]],Rooms[Code],Rooms[Floor])</f>
        <v>Ground</v>
      </c>
      <c r="D94" t="s">
        <v>178</v>
      </c>
      <c r="E94" t="s">
        <v>294</v>
      </c>
      <c r="F94" t="s">
        <v>206</v>
      </c>
      <c r="I94" t="s">
        <v>239</v>
      </c>
      <c r="L94" t="s">
        <v>11</v>
      </c>
      <c r="M94" t="s">
        <v>248</v>
      </c>
      <c r="N94" t="s">
        <v>247</v>
      </c>
      <c r="R94" t="s">
        <v>250</v>
      </c>
      <c r="S94">
        <f>IFERROR(VALUE(RIGHT(LightSpec[[#This Row],[From]],1)), 0)</f>
        <v>0</v>
      </c>
      <c r="T9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9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9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9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9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9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9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9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95" spans="1:27" hidden="1" x14ac:dyDescent="0.25">
      <c r="A95" t="str">
        <f>LightSpec[[#This Row],[From]]&amp;"-"&amp;LightSpec[[#This Row],[Room]]&amp;"-"&amp;LightSpec[[#This Row],[DiagNo]]</f>
        <v>P1S3-GPT-R1</v>
      </c>
      <c r="B95" t="str">
        <f>_xlfn.XLOOKUP(LightSpec[[#This Row],[Room]],Rooms[Code],Rooms[Room])</f>
        <v>Plant Room</v>
      </c>
      <c r="C95" t="str">
        <f>_xlfn.XLOOKUP(LightSpec[[#This Row],[Room]],Rooms[Code],Rooms[Floor])</f>
        <v>Ground</v>
      </c>
      <c r="D95" t="s">
        <v>178</v>
      </c>
      <c r="E95" t="s">
        <v>251</v>
      </c>
      <c r="F95" t="s">
        <v>319</v>
      </c>
      <c r="G95">
        <v>1</v>
      </c>
      <c r="I95" t="s">
        <v>253</v>
      </c>
      <c r="L95" t="s">
        <v>11</v>
      </c>
      <c r="M95" t="s">
        <v>92</v>
      </c>
      <c r="N95" t="s">
        <v>92</v>
      </c>
      <c r="R95" t="s">
        <v>254</v>
      </c>
      <c r="S95">
        <f>IFERROR(VALUE(RIGHT(LightSpec[[#This Row],[From]],1)), 0)</f>
        <v>3</v>
      </c>
      <c r="T9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9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9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Plant Room (PIR R1)</v>
      </c>
      <c r="W9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9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9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9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P1S3-GPT-R1 (PIR R1)</v>
      </c>
      <c r="AA9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96" spans="1:27" hidden="1" x14ac:dyDescent="0.25">
      <c r="A96" t="str">
        <f>LightSpec[[#This Row],[From]]&amp;"-"&amp;LightSpec[[#This Row],[Room]]&amp;"-"&amp;LightSpec[[#This Row],[DiagNo]]</f>
        <v>D12S1-GPT-S1</v>
      </c>
      <c r="B96" t="str">
        <f>_xlfn.XLOOKUP(LightSpec[[#This Row],[Room]],Rooms[Code],Rooms[Room])</f>
        <v>Plant Room</v>
      </c>
      <c r="C96" t="str">
        <f>_xlfn.XLOOKUP(LightSpec[[#This Row],[Room]],Rooms[Code],Rooms[Floor])</f>
        <v>Ground</v>
      </c>
      <c r="D96" t="s">
        <v>178</v>
      </c>
      <c r="E96" t="s">
        <v>192</v>
      </c>
      <c r="F96" t="s">
        <v>320</v>
      </c>
      <c r="G96">
        <v>4</v>
      </c>
      <c r="H96">
        <v>0</v>
      </c>
      <c r="I96" t="s">
        <v>229</v>
      </c>
      <c r="L96" t="s">
        <v>11</v>
      </c>
      <c r="M96" t="s">
        <v>279</v>
      </c>
      <c r="N96" t="s">
        <v>409</v>
      </c>
      <c r="S96">
        <f>IFERROR(VALUE(RIGHT(LightSpec[[#This Row],[From]],1)), 0)</f>
        <v>1</v>
      </c>
      <c r="T9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Plant Room (Switch S1)</v>
      </c>
      <c r="U9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Plant Room (Switch S1)</v>
      </c>
      <c r="V9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Plant Room (Switch S1)</v>
      </c>
      <c r="W9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Plant Room (Switch S1)</v>
      </c>
      <c r="X9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D12S1-GPT-S1 (Switch S1)</v>
      </c>
      <c r="Y9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D12S1-GPT-S1 (Switch S1)</v>
      </c>
      <c r="Z9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D12S1-GPT-S1 (Switch S1)</v>
      </c>
      <c r="AA9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D12S1-GPT-S1 (Switch S1)</v>
      </c>
    </row>
    <row r="97" spans="1:27" hidden="1" x14ac:dyDescent="0.25">
      <c r="A97" t="str">
        <f>LightSpec[[#This Row],[From]]&amp;"-"&amp;LightSpec[[#This Row],[Room]]&amp;"-"&amp;LightSpec[[#This Row],[DiagNo]]</f>
        <v>D13O1-GWC-C1</v>
      </c>
      <c r="B97" t="str">
        <f>_xlfn.XLOOKUP(LightSpec[[#This Row],[Room]],Rooms[Code],Rooms[Room])</f>
        <v>WC/Wet room</v>
      </c>
      <c r="C97" t="str">
        <f>_xlfn.XLOOKUP(LightSpec[[#This Row],[Room]],Rooms[Code],Rooms[Floor])</f>
        <v>Ground</v>
      </c>
      <c r="D97" t="s">
        <v>167</v>
      </c>
      <c r="E97" t="s">
        <v>151</v>
      </c>
      <c r="F97" t="s">
        <v>321</v>
      </c>
      <c r="I97" t="s">
        <v>5</v>
      </c>
      <c r="J97">
        <v>9</v>
      </c>
      <c r="K97">
        <v>3</v>
      </c>
      <c r="L97" t="s">
        <v>11</v>
      </c>
      <c r="M97" t="s">
        <v>136</v>
      </c>
      <c r="N97" t="s">
        <v>140</v>
      </c>
      <c r="O97">
        <v>54</v>
      </c>
      <c r="R97" t="s">
        <v>40</v>
      </c>
      <c r="S97">
        <f>IFERROR(VALUE(RIGHT(LightSpec[[#This Row],[From]],1)), 0)</f>
        <v>1</v>
      </c>
      <c r="T9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9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9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9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9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9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9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9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98" spans="1:27" hidden="1" x14ac:dyDescent="0.25">
      <c r="A98" t="str">
        <f>LightSpec[[#This Row],[From]]&amp;"-"&amp;LightSpec[[#This Row],[Room]]&amp;"-"&amp;LightSpec[[#This Row],[DiagNo]]</f>
        <v>D13O1-GWC-C1</v>
      </c>
      <c r="B98" t="str">
        <f>_xlfn.XLOOKUP(LightSpec[[#This Row],[Room]],Rooms[Code],Rooms[Room])</f>
        <v>WC/Wet room</v>
      </c>
      <c r="C98" t="str">
        <f>_xlfn.XLOOKUP(LightSpec[[#This Row],[Room]],Rooms[Code],Rooms[Floor])</f>
        <v>Ground</v>
      </c>
      <c r="D98" t="s">
        <v>167</v>
      </c>
      <c r="E98" t="s">
        <v>151</v>
      </c>
      <c r="F98" t="s">
        <v>321</v>
      </c>
      <c r="I98" t="s">
        <v>16</v>
      </c>
      <c r="J98">
        <v>9</v>
      </c>
      <c r="K98">
        <v>3</v>
      </c>
      <c r="L98" t="s">
        <v>11</v>
      </c>
      <c r="M98" t="s">
        <v>136</v>
      </c>
      <c r="N98" t="s">
        <v>140</v>
      </c>
      <c r="S98">
        <f>IFERROR(VALUE(RIGHT(LightSpec[[#This Row],[From]],1)), 0)</f>
        <v>1</v>
      </c>
      <c r="T9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9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9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9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9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9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9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9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99" spans="1:27" hidden="1" x14ac:dyDescent="0.25">
      <c r="A99" s="6" t="str">
        <f>LightSpec[[#This Row],[From]]&amp;"-"&amp;LightSpec[[#This Row],[Room]]&amp;"-"&amp;LightSpec[[#This Row],[DiagNo]]</f>
        <v>D13O2-GWC-C4</v>
      </c>
      <c r="B99" s="6" t="str">
        <f>_xlfn.XLOOKUP(LightSpec[[#This Row],[Room]],Rooms[Code],Rooms[Room])</f>
        <v>WC/Wet room</v>
      </c>
      <c r="C99" s="6" t="str">
        <f>_xlfn.XLOOKUP(LightSpec[[#This Row],[Room]],Rooms[Code],Rooms[Floor])</f>
        <v>Ground</v>
      </c>
      <c r="D99" s="6" t="s">
        <v>167</v>
      </c>
      <c r="E99" s="6" t="s">
        <v>148</v>
      </c>
      <c r="F99" s="6" t="s">
        <v>602</v>
      </c>
      <c r="G99" s="6"/>
      <c r="H99" s="6"/>
      <c r="I99" s="6" t="s">
        <v>648</v>
      </c>
      <c r="S99">
        <f>IFERROR(VALUE(RIGHT(LightSpec[[#This Row],[From]],1)), 0)</f>
        <v>2</v>
      </c>
      <c r="T9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9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9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9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9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9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9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9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00" spans="1:27" hidden="1" x14ac:dyDescent="0.25">
      <c r="A100" t="str">
        <f>LightSpec[[#This Row],[From]]&amp;"-"&amp;LightSpec[[#This Row],[Room]]&amp;"-"&amp;LightSpec[[#This Row],[DiagNo]]</f>
        <v>P4O2-GWC-C2</v>
      </c>
      <c r="B100" t="str">
        <f>_xlfn.XLOOKUP(LightSpec[[#This Row],[Room]],Rooms[Code],Rooms[Room])</f>
        <v>WC/Wet room</v>
      </c>
      <c r="C100" t="str">
        <f>_xlfn.XLOOKUP(LightSpec[[#This Row],[Room]],Rooms[Code],Rooms[Floor])</f>
        <v>Ground</v>
      </c>
      <c r="D100" t="s">
        <v>167</v>
      </c>
      <c r="E100" t="s">
        <v>150</v>
      </c>
      <c r="F100" t="s">
        <v>322</v>
      </c>
      <c r="I100" t="s">
        <v>327</v>
      </c>
      <c r="J100">
        <v>3</v>
      </c>
      <c r="K100">
        <v>1</v>
      </c>
      <c r="L100" t="s">
        <v>9</v>
      </c>
      <c r="M100" t="s">
        <v>115</v>
      </c>
      <c r="N100" t="s">
        <v>139</v>
      </c>
      <c r="O100">
        <v>3</v>
      </c>
      <c r="P100" t="s">
        <v>113</v>
      </c>
      <c r="R100" t="s">
        <v>41</v>
      </c>
      <c r="S100">
        <f>IFERROR(VALUE(RIGHT(LightSpec[[#This Row],[From]],1)), 0)</f>
        <v>2</v>
      </c>
      <c r="T10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0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01" spans="1:27" hidden="1" x14ac:dyDescent="0.25">
      <c r="A101" t="str">
        <f>LightSpec[[#This Row],[From]]&amp;"-"&amp;LightSpec[[#This Row],[Room]]&amp;"-"&amp;LightSpec[[#This Row],[DiagNo]]</f>
        <v>P4O3-GWC-C3</v>
      </c>
      <c r="B101" t="str">
        <f>_xlfn.XLOOKUP(LightSpec[[#This Row],[Room]],Rooms[Code],Rooms[Room])</f>
        <v>WC/Wet room</v>
      </c>
      <c r="C101" t="str">
        <f>_xlfn.XLOOKUP(LightSpec[[#This Row],[Room]],Rooms[Code],Rooms[Floor])</f>
        <v>Ground</v>
      </c>
      <c r="D101" t="s">
        <v>167</v>
      </c>
      <c r="E101" t="s">
        <v>149</v>
      </c>
      <c r="F101" t="s">
        <v>323</v>
      </c>
      <c r="I101" t="s">
        <v>328</v>
      </c>
      <c r="J101" t="s">
        <v>3</v>
      </c>
      <c r="K101">
        <v>1</v>
      </c>
      <c r="L101" t="s">
        <v>11</v>
      </c>
      <c r="M101" t="s">
        <v>115</v>
      </c>
      <c r="N101" t="s">
        <v>139</v>
      </c>
      <c r="O101" t="s">
        <v>3</v>
      </c>
      <c r="R101" t="s">
        <v>42</v>
      </c>
      <c r="S101">
        <f>IFERROR(VALUE(RIGHT(LightSpec[[#This Row],[From]],1)), 0)</f>
        <v>3</v>
      </c>
      <c r="T10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0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02" spans="1:27" hidden="1" x14ac:dyDescent="0.25">
      <c r="A102" t="str">
        <f>LightSpec[[#This Row],[From]]&amp;"-"&amp;LightSpec[[#This Row],[Room]]&amp;"-"&amp;LightSpec[[#This Row],[DiagNo]]</f>
        <v>P1S4-GWC-R1</v>
      </c>
      <c r="B102" t="str">
        <f>_xlfn.XLOOKUP(LightSpec[[#This Row],[Room]],Rooms[Code],Rooms[Room])</f>
        <v>WC/Wet room</v>
      </c>
      <c r="C102" t="str">
        <f>_xlfn.XLOOKUP(LightSpec[[#This Row],[Room]],Rooms[Code],Rooms[Floor])</f>
        <v>Ground</v>
      </c>
      <c r="D102" t="s">
        <v>167</v>
      </c>
      <c r="E102" t="s">
        <v>251</v>
      </c>
      <c r="F102" t="s">
        <v>324</v>
      </c>
      <c r="G102">
        <v>1</v>
      </c>
      <c r="I102" t="s">
        <v>362</v>
      </c>
      <c r="L102" t="s">
        <v>11</v>
      </c>
      <c r="M102" t="s">
        <v>92</v>
      </c>
      <c r="N102" t="s">
        <v>92</v>
      </c>
      <c r="R102" t="s">
        <v>254</v>
      </c>
      <c r="S102">
        <f>IFERROR(VALUE(RIGHT(LightSpec[[#This Row],[From]],1)), 0)</f>
        <v>4</v>
      </c>
      <c r="T10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WC/Wet room (PIR R1)</v>
      </c>
      <c r="X10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P1S4-GWC-R1 (PIR R1)</v>
      </c>
    </row>
    <row r="103" spans="1:27" hidden="1" x14ac:dyDescent="0.25">
      <c r="A103" t="str">
        <f>LightSpec[[#This Row],[From]]&amp;"-"&amp;LightSpec[[#This Row],[Room]]&amp;"-"&amp;LightSpec[[#This Row],[DiagNo]]</f>
        <v>MCB-GWC-P1</v>
      </c>
      <c r="B103" t="str">
        <f>_xlfn.XLOOKUP(LightSpec[[#This Row],[Room]],Rooms[Code],Rooms[Room])</f>
        <v>WC/Wet room</v>
      </c>
      <c r="C103" t="str">
        <f>_xlfn.XLOOKUP(LightSpec[[#This Row],[Room]],Rooms[Code],Rooms[Floor])</f>
        <v>Ground</v>
      </c>
      <c r="D103" t="s">
        <v>167</v>
      </c>
      <c r="E103" t="s">
        <v>238</v>
      </c>
      <c r="F103" t="s">
        <v>206</v>
      </c>
      <c r="I103" t="s">
        <v>325</v>
      </c>
      <c r="L103" t="s">
        <v>11</v>
      </c>
      <c r="M103" t="s">
        <v>326</v>
      </c>
      <c r="N103" t="s">
        <v>247</v>
      </c>
      <c r="S103">
        <f>IFERROR(VALUE(RIGHT(LightSpec[[#This Row],[From]],1)), 0)</f>
        <v>0</v>
      </c>
      <c r="T10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0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04" spans="1:27" hidden="1" x14ac:dyDescent="0.25">
      <c r="A104" t="str">
        <f>LightSpec[[#This Row],[From]]&amp;"-"&amp;LightSpec[[#This Row],[Room]]&amp;"-"&amp;LightSpec[[#This Row],[DiagNo]]</f>
        <v>D14O1-GGR-C1</v>
      </c>
      <c r="B104" t="str">
        <f>_xlfn.XLOOKUP(LightSpec[[#This Row],[Room]],Rooms[Code],Rooms[Room])</f>
        <v>Games room</v>
      </c>
      <c r="C104" t="str">
        <f>_xlfn.XLOOKUP(LightSpec[[#This Row],[Room]],Rooms[Code],Rooms[Floor])</f>
        <v>Ground</v>
      </c>
      <c r="D104" t="s">
        <v>157</v>
      </c>
      <c r="E104" t="s">
        <v>151</v>
      </c>
      <c r="F104" t="s">
        <v>329</v>
      </c>
      <c r="I104" t="s">
        <v>5</v>
      </c>
      <c r="J104">
        <v>9</v>
      </c>
      <c r="K104">
        <v>6</v>
      </c>
      <c r="L104" t="s">
        <v>11</v>
      </c>
      <c r="M104" t="s">
        <v>136</v>
      </c>
      <c r="N104" t="s">
        <v>140</v>
      </c>
      <c r="O104">
        <v>54</v>
      </c>
      <c r="R104" t="s">
        <v>43</v>
      </c>
      <c r="S104">
        <f>IFERROR(VALUE(RIGHT(LightSpec[[#This Row],[From]],1)), 0)</f>
        <v>1</v>
      </c>
      <c r="T10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0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05" spans="1:27" hidden="1" x14ac:dyDescent="0.25">
      <c r="A105" s="3" t="str">
        <f>LightSpec[[#This Row],[From]]&amp;"-"&amp;LightSpec[[#This Row],[Room]]&amp;"-"&amp;LightSpec[[#This Row],[DiagNo]]</f>
        <v>NA-GGR-C2</v>
      </c>
      <c r="B105" s="3" t="str">
        <f>_xlfn.XLOOKUP(LightSpec[[#This Row],[Room]],Rooms[Code],Rooms[Room])</f>
        <v>Games room</v>
      </c>
      <c r="C105" s="3" t="str">
        <f>_xlfn.XLOOKUP(LightSpec[[#This Row],[Room]],Rooms[Code],Rooms[Floor])</f>
        <v>Ground</v>
      </c>
      <c r="D105" s="3" t="s">
        <v>157</v>
      </c>
      <c r="E105" s="3" t="s">
        <v>150</v>
      </c>
      <c r="F105" s="3" t="s">
        <v>247</v>
      </c>
      <c r="G105" s="3"/>
      <c r="H105" s="3"/>
      <c r="I105" s="3" t="s">
        <v>293</v>
      </c>
      <c r="J105" s="3"/>
      <c r="K105" s="3"/>
      <c r="L105" s="3"/>
      <c r="M105" s="3" t="s">
        <v>247</v>
      </c>
      <c r="N105" s="3" t="s">
        <v>247</v>
      </c>
      <c r="O105" s="3" t="s">
        <v>247</v>
      </c>
      <c r="P105" s="3"/>
      <c r="Q105" s="3"/>
      <c r="R105" s="3" t="s">
        <v>88</v>
      </c>
      <c r="S105">
        <f>IFERROR(VALUE(RIGHT(LightSpec[[#This Row],[From]],1)), 0)</f>
        <v>0</v>
      </c>
      <c r="T10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0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06" spans="1:27" hidden="1" x14ac:dyDescent="0.25">
      <c r="A106" t="str">
        <f>LightSpec[[#This Row],[From]]&amp;"-"&amp;LightSpec[[#This Row],[Room]]&amp;"-"&amp;LightSpec[[#This Row],[DiagNo]]</f>
        <v>MCB-GGR-P1</v>
      </c>
      <c r="B106" t="str">
        <f>_xlfn.XLOOKUP(LightSpec[[#This Row],[Room]],Rooms[Code],Rooms[Room])</f>
        <v>Games room</v>
      </c>
      <c r="C106" t="str">
        <f>_xlfn.XLOOKUP(LightSpec[[#This Row],[Room]],Rooms[Code],Rooms[Floor])</f>
        <v>Ground</v>
      </c>
      <c r="D106" t="s">
        <v>157</v>
      </c>
      <c r="E106" t="s">
        <v>238</v>
      </c>
      <c r="F106" t="s">
        <v>206</v>
      </c>
      <c r="I106" t="s">
        <v>239</v>
      </c>
      <c r="L106" t="s">
        <v>11</v>
      </c>
      <c r="M106" t="s">
        <v>248</v>
      </c>
      <c r="N106" t="s">
        <v>247</v>
      </c>
      <c r="R106" t="s">
        <v>250</v>
      </c>
      <c r="S106">
        <f>IFERROR(VALUE(RIGHT(LightSpec[[#This Row],[From]],1)), 0)</f>
        <v>0</v>
      </c>
      <c r="T10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0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07" spans="1:27" hidden="1" x14ac:dyDescent="0.25">
      <c r="A107" t="str">
        <f>LightSpec[[#This Row],[From]]&amp;"-"&amp;LightSpec[[#This Row],[Room]]&amp;"-"&amp;LightSpec[[#This Row],[DiagNo]]</f>
        <v>MCB-GGR-P2</v>
      </c>
      <c r="B107" t="str">
        <f>_xlfn.XLOOKUP(LightSpec[[#This Row],[Room]],Rooms[Code],Rooms[Room])</f>
        <v>Games room</v>
      </c>
      <c r="C107" t="str">
        <f>_xlfn.XLOOKUP(LightSpec[[#This Row],[Room]],Rooms[Code],Rooms[Floor])</f>
        <v>Ground</v>
      </c>
      <c r="D107" t="s">
        <v>157</v>
      </c>
      <c r="E107" t="s">
        <v>237</v>
      </c>
      <c r="F107" t="s">
        <v>206</v>
      </c>
      <c r="I107" t="s">
        <v>239</v>
      </c>
      <c r="L107" t="s">
        <v>11</v>
      </c>
      <c r="M107" t="s">
        <v>248</v>
      </c>
      <c r="N107" t="s">
        <v>247</v>
      </c>
      <c r="R107" t="s">
        <v>250</v>
      </c>
      <c r="S107">
        <f>IFERROR(VALUE(RIGHT(LightSpec[[#This Row],[From]],1)), 0)</f>
        <v>0</v>
      </c>
      <c r="T10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0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08" spans="1:27" hidden="1" x14ac:dyDescent="0.25">
      <c r="A108" t="str">
        <f>LightSpec[[#This Row],[From]]&amp;"-"&amp;LightSpec[[#This Row],[Room]]&amp;"-"&amp;LightSpec[[#This Row],[DiagNo]]</f>
        <v>MCB-GGR-P3</v>
      </c>
      <c r="B108" t="str">
        <f>_xlfn.XLOOKUP(LightSpec[[#This Row],[Room]],Rooms[Code],Rooms[Room])</f>
        <v>Games room</v>
      </c>
      <c r="C108" t="str">
        <f>_xlfn.XLOOKUP(LightSpec[[#This Row],[Room]],Rooms[Code],Rooms[Floor])</f>
        <v>Ground</v>
      </c>
      <c r="D108" t="s">
        <v>157</v>
      </c>
      <c r="E108" t="s">
        <v>245</v>
      </c>
      <c r="F108" t="s">
        <v>206</v>
      </c>
      <c r="I108" t="s">
        <v>239</v>
      </c>
      <c r="L108" t="s">
        <v>11</v>
      </c>
      <c r="M108" t="s">
        <v>248</v>
      </c>
      <c r="N108" t="s">
        <v>247</v>
      </c>
      <c r="R108" t="s">
        <v>250</v>
      </c>
      <c r="S108">
        <f>IFERROR(VALUE(RIGHT(LightSpec[[#This Row],[From]],1)), 0)</f>
        <v>0</v>
      </c>
      <c r="T10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0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09" spans="1:27" hidden="1" x14ac:dyDescent="0.25">
      <c r="A109" t="str">
        <f>LightSpec[[#This Row],[From]]&amp;"-"&amp;LightSpec[[#This Row],[Room]]&amp;"-"&amp;LightSpec[[#This Row],[DiagNo]]</f>
        <v>MCB-GGR-P4</v>
      </c>
      <c r="B109" t="str">
        <f>_xlfn.XLOOKUP(LightSpec[[#This Row],[Room]],Rooms[Code],Rooms[Room])</f>
        <v>Games room</v>
      </c>
      <c r="C109" t="str">
        <f>_xlfn.XLOOKUP(LightSpec[[#This Row],[Room]],Rooms[Code],Rooms[Floor])</f>
        <v>Ground</v>
      </c>
      <c r="D109" t="s">
        <v>157</v>
      </c>
      <c r="E109" t="s">
        <v>294</v>
      </c>
      <c r="F109" t="s">
        <v>206</v>
      </c>
      <c r="I109" t="s">
        <v>239</v>
      </c>
      <c r="L109" t="s">
        <v>11</v>
      </c>
      <c r="M109" t="s">
        <v>248</v>
      </c>
      <c r="N109" t="s">
        <v>247</v>
      </c>
      <c r="R109" t="s">
        <v>250</v>
      </c>
      <c r="S109">
        <f>IFERROR(VALUE(RIGHT(LightSpec[[#This Row],[From]],1)), 0)</f>
        <v>0</v>
      </c>
      <c r="T10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0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0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0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0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0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0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0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10" spans="1:27" hidden="1" x14ac:dyDescent="0.25">
      <c r="A110" t="str">
        <f>LightSpec[[#This Row],[From]]&amp;"-"&amp;LightSpec[[#This Row],[Room]]&amp;"-"&amp;LightSpec[[#This Row],[DiagNo]]</f>
        <v>MCB-GGR-P5</v>
      </c>
      <c r="B110" t="str">
        <f>_xlfn.XLOOKUP(LightSpec[[#This Row],[Room]],Rooms[Code],Rooms[Room])</f>
        <v>Games room</v>
      </c>
      <c r="C110" t="str">
        <f>_xlfn.XLOOKUP(LightSpec[[#This Row],[Room]],Rooms[Code],Rooms[Floor])</f>
        <v>Ground</v>
      </c>
      <c r="D110" t="s">
        <v>157</v>
      </c>
      <c r="E110" t="s">
        <v>295</v>
      </c>
      <c r="F110" t="s">
        <v>206</v>
      </c>
      <c r="I110" t="s">
        <v>239</v>
      </c>
      <c r="L110" t="s">
        <v>11</v>
      </c>
      <c r="M110" t="s">
        <v>248</v>
      </c>
      <c r="N110" t="s">
        <v>247</v>
      </c>
      <c r="R110" t="s">
        <v>250</v>
      </c>
      <c r="S110">
        <f>IFERROR(VALUE(RIGHT(LightSpec[[#This Row],[From]],1)), 0)</f>
        <v>0</v>
      </c>
      <c r="T11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1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1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1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1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1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1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1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11" spans="1:27" hidden="1" x14ac:dyDescent="0.25">
      <c r="A111" t="str">
        <f>LightSpec[[#This Row],[From]]&amp;"-"&amp;LightSpec[[#This Row],[Room]]&amp;"-"&amp;LightSpec[[#This Row],[DiagNo]]</f>
        <v>E13-GGR-D1</v>
      </c>
      <c r="B111" t="str">
        <f>_xlfn.XLOOKUP(LightSpec[[#This Row],[Room]],Rooms[Code],Rooms[Room])</f>
        <v>Games room</v>
      </c>
      <c r="C111" t="str">
        <f>_xlfn.XLOOKUP(LightSpec[[#This Row],[Room]],Rooms[Code],Rooms[Floor])</f>
        <v>Ground</v>
      </c>
      <c r="D111" t="s">
        <v>157</v>
      </c>
      <c r="E111" t="s">
        <v>266</v>
      </c>
      <c r="F111" t="s">
        <v>382</v>
      </c>
      <c r="I111" t="s">
        <v>268</v>
      </c>
      <c r="L111" t="s">
        <v>269</v>
      </c>
      <c r="M111" t="s">
        <v>270</v>
      </c>
      <c r="N111" t="s">
        <v>247</v>
      </c>
      <c r="R111" t="s">
        <v>271</v>
      </c>
      <c r="S111">
        <f>IFERROR(VALUE(RIGHT(LightSpec[[#This Row],[From]],1)), 0)</f>
        <v>3</v>
      </c>
      <c r="T11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1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1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1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1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1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1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1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12" spans="1:27" hidden="1" x14ac:dyDescent="0.25">
      <c r="A112" t="str">
        <f>LightSpec[[#This Row],[From]]&amp;"-"&amp;LightSpec[[#This Row],[Room]]&amp;"-"&amp;LightSpec[[#This Row],[DiagNo]]</f>
        <v>E14-GGR-D2</v>
      </c>
      <c r="B112" t="str">
        <f>_xlfn.XLOOKUP(LightSpec[[#This Row],[Room]],Rooms[Code],Rooms[Room])</f>
        <v>Games room</v>
      </c>
      <c r="C112" t="str">
        <f>_xlfn.XLOOKUP(LightSpec[[#This Row],[Room]],Rooms[Code],Rooms[Floor])</f>
        <v>Ground</v>
      </c>
      <c r="D112" t="s">
        <v>157</v>
      </c>
      <c r="E112" t="s">
        <v>309</v>
      </c>
      <c r="F112" t="s">
        <v>383</v>
      </c>
      <c r="I112" t="s">
        <v>268</v>
      </c>
      <c r="L112" t="s">
        <v>269</v>
      </c>
      <c r="M112" t="s">
        <v>270</v>
      </c>
      <c r="N112" t="s">
        <v>247</v>
      </c>
      <c r="R112" t="s">
        <v>271</v>
      </c>
      <c r="S112">
        <f>IFERROR(VALUE(RIGHT(LightSpec[[#This Row],[From]],1)), 0)</f>
        <v>4</v>
      </c>
      <c r="T11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1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1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1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1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1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1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1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13" spans="1:27" hidden="1" x14ac:dyDescent="0.25">
      <c r="A113" t="str">
        <f>LightSpec[[#This Row],[From]]&amp;"-"&amp;LightSpec[[#This Row],[Room]]&amp;"-"&amp;LightSpec[[#This Row],[DiagNo]]</f>
        <v>T1-GGR-TV</v>
      </c>
      <c r="B113" t="str">
        <f>_xlfn.XLOOKUP(LightSpec[[#This Row],[Room]],Rooms[Code],Rooms[Room])</f>
        <v>Games room</v>
      </c>
      <c r="C113" t="str">
        <f>_xlfn.XLOOKUP(LightSpec[[#This Row],[Room]],Rooms[Code],Rooms[Floor])</f>
        <v>Ground</v>
      </c>
      <c r="D113" t="s">
        <v>157</v>
      </c>
      <c r="E113" t="s">
        <v>240</v>
      </c>
      <c r="F113" t="s">
        <v>297</v>
      </c>
      <c r="I113" t="s">
        <v>298</v>
      </c>
      <c r="L113" t="s">
        <v>240</v>
      </c>
      <c r="M113" t="s">
        <v>240</v>
      </c>
      <c r="N113" t="s">
        <v>247</v>
      </c>
      <c r="R113" t="s">
        <v>299</v>
      </c>
      <c r="S113">
        <f>IFERROR(VALUE(RIGHT(LightSpec[[#This Row],[From]],1)), 0)</f>
        <v>1</v>
      </c>
      <c r="T11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1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1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1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1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1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1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1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14" spans="1:27" hidden="1" x14ac:dyDescent="0.25">
      <c r="A114" t="str">
        <f>LightSpec[[#This Row],[From]]&amp;"-"&amp;LightSpec[[#This Row],[Room]]&amp;"-"&amp;LightSpec[[#This Row],[DiagNo]]</f>
        <v>D14S1-GGR-S1</v>
      </c>
      <c r="B114" t="str">
        <f>_xlfn.XLOOKUP(LightSpec[[#This Row],[Room]],Rooms[Code],Rooms[Room])</f>
        <v>Games room</v>
      </c>
      <c r="C114" t="str">
        <f>_xlfn.XLOOKUP(LightSpec[[#This Row],[Room]],Rooms[Code],Rooms[Floor])</f>
        <v>Ground</v>
      </c>
      <c r="D114" t="s">
        <v>157</v>
      </c>
      <c r="E114" t="s">
        <v>192</v>
      </c>
      <c r="F114" t="s">
        <v>332</v>
      </c>
      <c r="G114">
        <v>4</v>
      </c>
      <c r="H114">
        <v>0</v>
      </c>
      <c r="I114" t="s">
        <v>229</v>
      </c>
      <c r="L114" t="s">
        <v>11</v>
      </c>
      <c r="M114" t="s">
        <v>279</v>
      </c>
      <c r="N114" t="s">
        <v>409</v>
      </c>
      <c r="S114">
        <f>IFERROR(VALUE(RIGHT(LightSpec[[#This Row],[From]],1)), 0)</f>
        <v>1</v>
      </c>
      <c r="T11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Games room (Switch S1)</v>
      </c>
      <c r="U11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Games room (Switch S1)</v>
      </c>
      <c r="V11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Games room (Switch S1)</v>
      </c>
      <c r="W11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Games room (Switch S1)</v>
      </c>
      <c r="X11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D14S1-GGR-S1 (Switch S1)</v>
      </c>
      <c r="Y11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D14S1-GGR-S1 (Switch S1)</v>
      </c>
      <c r="Z11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D14S1-GGR-S1 (Switch S1)</v>
      </c>
      <c r="AA11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D14S1-GGR-S1 (Switch S1)</v>
      </c>
    </row>
    <row r="115" spans="1:27" hidden="1" x14ac:dyDescent="0.25">
      <c r="A115" t="str">
        <f>LightSpec[[#This Row],[From]]&amp;"-"&amp;LightSpec[[#This Row],[Room]]&amp;"-"&amp;LightSpec[[#This Row],[DiagNo]]</f>
        <v>E5-GGR-A1</v>
      </c>
      <c r="B115" t="str">
        <f>_xlfn.XLOOKUP(LightSpec[[#This Row],[Room]],Rooms[Code],Rooms[Room])</f>
        <v>Games room</v>
      </c>
      <c r="C115" t="str">
        <f>_xlfn.XLOOKUP(LightSpec[[#This Row],[Room]],Rooms[Code],Rooms[Floor])</f>
        <v>Ground</v>
      </c>
      <c r="D115" t="s">
        <v>157</v>
      </c>
      <c r="E115" t="s">
        <v>256</v>
      </c>
      <c r="F115" t="s">
        <v>304</v>
      </c>
      <c r="I115" t="s">
        <v>258</v>
      </c>
      <c r="L115" t="s">
        <v>269</v>
      </c>
      <c r="M115" t="s">
        <v>262</v>
      </c>
      <c r="N115" t="s">
        <v>247</v>
      </c>
      <c r="R115" t="s">
        <v>259</v>
      </c>
      <c r="S115">
        <f>IFERROR(VALUE(RIGHT(LightSpec[[#This Row],[From]],1)), 0)</f>
        <v>5</v>
      </c>
      <c r="T11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1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1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1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1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1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1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1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16" spans="1:27" hidden="1" x14ac:dyDescent="0.25">
      <c r="A116" t="str">
        <f>LightSpec[[#This Row],[From]]&amp;"-"&amp;LightSpec[[#This Row],[Room]]&amp;"-"&amp;LightSpec[[#This Row],[DiagNo]]</f>
        <v>D15O1-FMD-C1</v>
      </c>
      <c r="B116" t="str">
        <f>_xlfn.XLOOKUP(LightSpec[[#This Row],[Room]],Rooms[Code],Rooms[Room])</f>
        <v>Master Dressing</v>
      </c>
      <c r="C116" t="str">
        <f>_xlfn.XLOOKUP(LightSpec[[#This Row],[Room]],Rooms[Code],Rooms[Floor])</f>
        <v>First</v>
      </c>
      <c r="D116" t="s">
        <v>153</v>
      </c>
      <c r="E116" t="s">
        <v>151</v>
      </c>
      <c r="F116" t="s">
        <v>333</v>
      </c>
      <c r="I116" t="s">
        <v>5</v>
      </c>
      <c r="J116">
        <v>9</v>
      </c>
      <c r="K116">
        <v>1</v>
      </c>
      <c r="L116" t="s">
        <v>11</v>
      </c>
      <c r="M116" t="s">
        <v>136</v>
      </c>
      <c r="N116" t="s">
        <v>140</v>
      </c>
      <c r="O116">
        <v>9</v>
      </c>
      <c r="R116" t="s">
        <v>79</v>
      </c>
      <c r="S116">
        <f>IFERROR(VALUE(RIGHT(LightSpec[[#This Row],[From]],1)), 0)</f>
        <v>1</v>
      </c>
      <c r="T11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1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1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1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1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1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1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1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17" spans="1:27" hidden="1" x14ac:dyDescent="0.25">
      <c r="A117" t="str">
        <f>LightSpec[[#This Row],[From]]&amp;"-"&amp;LightSpec[[#This Row],[Room]]&amp;"-"&amp;LightSpec[[#This Row],[DiagNo]]</f>
        <v>D15O2-FMD-C2</v>
      </c>
      <c r="B117" t="str">
        <f>_xlfn.XLOOKUP(LightSpec[[#This Row],[Room]],Rooms[Code],Rooms[Room])</f>
        <v>Master Dressing</v>
      </c>
      <c r="C117" t="str">
        <f>_xlfn.XLOOKUP(LightSpec[[#This Row],[Room]],Rooms[Code],Rooms[Floor])</f>
        <v>First</v>
      </c>
      <c r="D117" t="s">
        <v>153</v>
      </c>
      <c r="E117" t="s">
        <v>150</v>
      </c>
      <c r="F117" t="s">
        <v>334</v>
      </c>
      <c r="I117" t="s">
        <v>5</v>
      </c>
      <c r="J117">
        <v>9</v>
      </c>
      <c r="K117">
        <v>10</v>
      </c>
      <c r="L117" t="s">
        <v>11</v>
      </c>
      <c r="M117" t="s">
        <v>136</v>
      </c>
      <c r="N117" t="s">
        <v>140</v>
      </c>
      <c r="O117">
        <v>90</v>
      </c>
      <c r="R117" t="s">
        <v>52</v>
      </c>
      <c r="S117">
        <f>IFERROR(VALUE(RIGHT(LightSpec[[#This Row],[From]],1)), 0)</f>
        <v>2</v>
      </c>
      <c r="T11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1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1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1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1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1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1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1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18" spans="1:27" hidden="1" x14ac:dyDescent="0.25">
      <c r="A118" t="str">
        <f>LightSpec[[#This Row],[From]]&amp;"-"&amp;LightSpec[[#This Row],[Room]]&amp;"-"&amp;LightSpec[[#This Row],[DiagNo]]</f>
        <v>D16O1-FMD-C3</v>
      </c>
      <c r="B118" t="str">
        <f>_xlfn.XLOOKUP(LightSpec[[#This Row],[Room]],Rooms[Code],Rooms[Room])</f>
        <v>Master Dressing</v>
      </c>
      <c r="C118" t="str">
        <f>_xlfn.XLOOKUP(LightSpec[[#This Row],[Room]],Rooms[Code],Rooms[Floor])</f>
        <v>First</v>
      </c>
      <c r="D118" t="s">
        <v>153</v>
      </c>
      <c r="E118" t="s">
        <v>149</v>
      </c>
      <c r="F118" t="s">
        <v>335</v>
      </c>
      <c r="I118" t="s">
        <v>7</v>
      </c>
      <c r="J118" t="s">
        <v>14</v>
      </c>
      <c r="K118">
        <v>2</v>
      </c>
      <c r="L118" t="s">
        <v>13</v>
      </c>
      <c r="M118" t="s">
        <v>136</v>
      </c>
      <c r="N118" t="s">
        <v>140</v>
      </c>
      <c r="O118" t="s">
        <v>3</v>
      </c>
      <c r="P118" t="s">
        <v>113</v>
      </c>
      <c r="R118" t="s">
        <v>80</v>
      </c>
      <c r="S118">
        <f>IFERROR(VALUE(RIGHT(LightSpec[[#This Row],[From]],1)), 0)</f>
        <v>1</v>
      </c>
      <c r="T11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1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1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1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1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1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1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1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19" spans="1:27" hidden="1" x14ac:dyDescent="0.25">
      <c r="A119" t="str">
        <f>LightSpec[[#This Row],[From]]&amp;"-"&amp;LightSpec[[#This Row],[Room]]&amp;"-"&amp;LightSpec[[#This Row],[DiagNo]]</f>
        <v>MCB-FMD-P1</v>
      </c>
      <c r="B119" t="str">
        <f>_xlfn.XLOOKUP(LightSpec[[#This Row],[Room]],Rooms[Code],Rooms[Room])</f>
        <v>Master Dressing</v>
      </c>
      <c r="C119" t="str">
        <f>_xlfn.XLOOKUP(LightSpec[[#This Row],[Room]],Rooms[Code],Rooms[Floor])</f>
        <v>First</v>
      </c>
      <c r="D119" t="s">
        <v>153</v>
      </c>
      <c r="E119" t="s">
        <v>238</v>
      </c>
      <c r="F119" t="s">
        <v>206</v>
      </c>
      <c r="I119" t="s">
        <v>239</v>
      </c>
      <c r="L119" t="s">
        <v>11</v>
      </c>
      <c r="M119" t="s">
        <v>248</v>
      </c>
      <c r="N119" t="s">
        <v>247</v>
      </c>
      <c r="R119" t="s">
        <v>250</v>
      </c>
      <c r="S119">
        <f>IFERROR(VALUE(RIGHT(LightSpec[[#This Row],[From]],1)), 0)</f>
        <v>0</v>
      </c>
      <c r="T11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1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1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1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1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1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1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1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20" spans="1:27" hidden="1" x14ac:dyDescent="0.25">
      <c r="A120" t="str">
        <f>LightSpec[[#This Row],[From]]&amp;"-"&amp;LightSpec[[#This Row],[Room]]&amp;"-"&amp;LightSpec[[#This Row],[DiagNo]]</f>
        <v>MCB-FMD-P2</v>
      </c>
      <c r="B120" t="str">
        <f>_xlfn.XLOOKUP(LightSpec[[#This Row],[Room]],Rooms[Code],Rooms[Room])</f>
        <v>Master Dressing</v>
      </c>
      <c r="C120" t="str">
        <f>_xlfn.XLOOKUP(LightSpec[[#This Row],[Room]],Rooms[Code],Rooms[Floor])</f>
        <v>First</v>
      </c>
      <c r="D120" t="s">
        <v>153</v>
      </c>
      <c r="E120" t="s">
        <v>237</v>
      </c>
      <c r="F120" t="s">
        <v>206</v>
      </c>
      <c r="I120" t="s">
        <v>239</v>
      </c>
      <c r="L120" t="s">
        <v>11</v>
      </c>
      <c r="M120" t="s">
        <v>248</v>
      </c>
      <c r="N120" t="s">
        <v>247</v>
      </c>
      <c r="R120" t="s">
        <v>250</v>
      </c>
      <c r="S120">
        <f>IFERROR(VALUE(RIGHT(LightSpec[[#This Row],[From]],1)), 0)</f>
        <v>0</v>
      </c>
      <c r="T12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2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2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2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2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2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2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2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21" spans="1:27" hidden="1" x14ac:dyDescent="0.25">
      <c r="A121" t="str">
        <f>LightSpec[[#This Row],[From]]&amp;"-"&amp;LightSpec[[#This Row],[Room]]&amp;"-"&amp;LightSpec[[#This Row],[DiagNo]]</f>
        <v>MCB-FMD-P3</v>
      </c>
      <c r="B121" t="str">
        <f>_xlfn.XLOOKUP(LightSpec[[#This Row],[Room]],Rooms[Code],Rooms[Room])</f>
        <v>Master Dressing</v>
      </c>
      <c r="C121" t="str">
        <f>_xlfn.XLOOKUP(LightSpec[[#This Row],[Room]],Rooms[Code],Rooms[Floor])</f>
        <v>First</v>
      </c>
      <c r="D121" t="s">
        <v>153</v>
      </c>
      <c r="E121" t="s">
        <v>245</v>
      </c>
      <c r="F121" t="s">
        <v>206</v>
      </c>
      <c r="I121" t="s">
        <v>239</v>
      </c>
      <c r="L121" t="s">
        <v>11</v>
      </c>
      <c r="M121" t="s">
        <v>248</v>
      </c>
      <c r="N121" t="s">
        <v>247</v>
      </c>
      <c r="R121" t="s">
        <v>250</v>
      </c>
      <c r="S121">
        <f>IFERROR(VALUE(RIGHT(LightSpec[[#This Row],[From]],1)), 0)</f>
        <v>0</v>
      </c>
      <c r="T12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2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2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2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2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2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2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2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22" spans="1:27" hidden="1" x14ac:dyDescent="0.25">
      <c r="A122" t="str">
        <f>LightSpec[[#This Row],[From]]&amp;"-"&amp;LightSpec[[#This Row],[Room]]&amp;"-"&amp;LightSpec[[#This Row],[DiagNo]]</f>
        <v>D15S1-FMD-S1</v>
      </c>
      <c r="B122" t="str">
        <f>_xlfn.XLOOKUP(LightSpec[[#This Row],[Room]],Rooms[Code],Rooms[Room])</f>
        <v>Master Dressing</v>
      </c>
      <c r="C122" t="str">
        <f>_xlfn.XLOOKUP(LightSpec[[#This Row],[Room]],Rooms[Code],Rooms[Floor])</f>
        <v>First</v>
      </c>
      <c r="D122" t="s">
        <v>153</v>
      </c>
      <c r="E122" t="s">
        <v>192</v>
      </c>
      <c r="F122" t="s">
        <v>336</v>
      </c>
      <c r="G122">
        <v>4</v>
      </c>
      <c r="H122">
        <v>0</v>
      </c>
      <c r="I122" t="s">
        <v>229</v>
      </c>
      <c r="L122" t="s">
        <v>11</v>
      </c>
      <c r="M122" t="s">
        <v>279</v>
      </c>
      <c r="N122" t="s">
        <v>409</v>
      </c>
      <c r="S122">
        <f>IFERROR(VALUE(RIGHT(LightSpec[[#This Row],[From]],1)), 0)</f>
        <v>1</v>
      </c>
      <c r="T12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Master Dressing (Switch S1)</v>
      </c>
      <c r="U12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Master Dressing (Switch S1)</v>
      </c>
      <c r="V12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Master Dressing (Switch S1)</v>
      </c>
      <c r="W12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Master Dressing (Switch S1)</v>
      </c>
      <c r="X12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D15S1-FMD-S1 (Switch S1)</v>
      </c>
      <c r="Y12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D15S1-FMD-S1 (Switch S1)</v>
      </c>
      <c r="Z12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D15S1-FMD-S1 (Switch S1)</v>
      </c>
      <c r="AA12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D15S1-FMD-S1 (Switch S1)</v>
      </c>
    </row>
    <row r="123" spans="1:27" hidden="1" x14ac:dyDescent="0.25">
      <c r="A123" t="str">
        <f>LightSpec[[#This Row],[From]]&amp;"-"&amp;LightSpec[[#This Row],[Room]]&amp;"-"&amp;LightSpec[[#This Row],[DiagNo]]</f>
        <v>D16S1-FMD-S2</v>
      </c>
      <c r="B123" t="str">
        <f>_xlfn.XLOOKUP(LightSpec[[#This Row],[Room]],Rooms[Code],Rooms[Room])</f>
        <v>Master Dressing</v>
      </c>
      <c r="C123" t="str">
        <f>_xlfn.XLOOKUP(LightSpec[[#This Row],[Room]],Rooms[Code],Rooms[Floor])</f>
        <v>First</v>
      </c>
      <c r="D123" t="s">
        <v>153</v>
      </c>
      <c r="E123" t="s">
        <v>193</v>
      </c>
      <c r="F123" t="s">
        <v>337</v>
      </c>
      <c r="G123">
        <v>4</v>
      </c>
      <c r="H123">
        <v>0</v>
      </c>
      <c r="I123" t="s">
        <v>229</v>
      </c>
      <c r="L123" t="s">
        <v>11</v>
      </c>
      <c r="M123" t="s">
        <v>279</v>
      </c>
      <c r="N123" t="s">
        <v>409</v>
      </c>
      <c r="S123">
        <f>IFERROR(VALUE(RIGHT(LightSpec[[#This Row],[From]],1)), 0)</f>
        <v>1</v>
      </c>
      <c r="T12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Master Dressing (Switch S2)</v>
      </c>
      <c r="U12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Master Dressing (Switch S2)</v>
      </c>
      <c r="V12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Master Dressing (Switch S2)</v>
      </c>
      <c r="W12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Master Dressing (Switch S2)</v>
      </c>
      <c r="X12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D16S1-FMD-S2 (Switch S2)</v>
      </c>
      <c r="Y12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D16S1-FMD-S2 (Switch S2)</v>
      </c>
      <c r="Z12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D16S1-FMD-S2 (Switch S2)</v>
      </c>
      <c r="AA12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D16S1-FMD-S2 (Switch S2)</v>
      </c>
    </row>
    <row r="124" spans="1:27" hidden="1" x14ac:dyDescent="0.25">
      <c r="A124" t="str">
        <f>LightSpec[[#This Row],[From]]&amp;"-"&amp;LightSpec[[#This Row],[Room]]&amp;"-"&amp;LightSpec[[#This Row],[DiagNo]]</f>
        <v>D16O2-FME-C1</v>
      </c>
      <c r="B124" t="str">
        <f>_xlfn.XLOOKUP(LightSpec[[#This Row],[Room]],Rooms[Code],Rooms[Room])</f>
        <v>Master Ensuite</v>
      </c>
      <c r="C124" t="str">
        <f>_xlfn.XLOOKUP(LightSpec[[#This Row],[Room]],Rooms[Code],Rooms[Floor])</f>
        <v>First</v>
      </c>
      <c r="D124" t="s">
        <v>154</v>
      </c>
      <c r="E124" t="s">
        <v>151</v>
      </c>
      <c r="F124" t="s">
        <v>338</v>
      </c>
      <c r="I124" t="s">
        <v>5</v>
      </c>
      <c r="J124">
        <v>9</v>
      </c>
      <c r="K124">
        <v>6</v>
      </c>
      <c r="L124" t="s">
        <v>11</v>
      </c>
      <c r="M124" t="s">
        <v>136</v>
      </c>
      <c r="N124" t="s">
        <v>140</v>
      </c>
      <c r="O124">
        <v>81</v>
      </c>
      <c r="R124" t="s">
        <v>89</v>
      </c>
      <c r="S124">
        <f>IFERROR(VALUE(RIGHT(LightSpec[[#This Row],[From]],1)), 0)</f>
        <v>2</v>
      </c>
      <c r="T12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2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2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2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2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2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2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2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25" spans="1:27" hidden="1" x14ac:dyDescent="0.25">
      <c r="A125" t="str">
        <f>LightSpec[[#This Row],[From]]&amp;"-"&amp;LightSpec[[#This Row],[Room]]&amp;"-"&amp;LightSpec[[#This Row],[DiagNo]]</f>
        <v>D16O2-FME-C1</v>
      </c>
      <c r="B125" t="str">
        <f>_xlfn.XLOOKUP(LightSpec[[#This Row],[Room]],Rooms[Code],Rooms[Room])</f>
        <v>Master Ensuite</v>
      </c>
      <c r="C125" t="str">
        <f>_xlfn.XLOOKUP(LightSpec[[#This Row],[Room]],Rooms[Code],Rooms[Floor])</f>
        <v>First</v>
      </c>
      <c r="D125" t="s">
        <v>154</v>
      </c>
      <c r="E125" t="s">
        <v>151</v>
      </c>
      <c r="F125" t="s">
        <v>338</v>
      </c>
      <c r="I125" t="s">
        <v>16</v>
      </c>
      <c r="J125">
        <v>9</v>
      </c>
      <c r="K125">
        <v>9</v>
      </c>
      <c r="L125" t="s">
        <v>11</v>
      </c>
      <c r="M125" t="s">
        <v>136</v>
      </c>
      <c r="N125" t="s">
        <v>140</v>
      </c>
      <c r="S125">
        <f>IFERROR(VALUE(RIGHT(LightSpec[[#This Row],[From]],1)), 0)</f>
        <v>2</v>
      </c>
      <c r="T12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2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2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2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2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2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2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2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26" spans="1:27" hidden="1" x14ac:dyDescent="0.25">
      <c r="A126" t="str">
        <f>LightSpec[[#This Row],[From]]&amp;"-"&amp;LightSpec[[#This Row],[Room]]&amp;"-"&amp;LightSpec[[#This Row],[DiagNo]]</f>
        <v>D17O1-FME-C2</v>
      </c>
      <c r="B126" t="str">
        <f>_xlfn.XLOOKUP(LightSpec[[#This Row],[Room]],Rooms[Code],Rooms[Room])</f>
        <v>Master Ensuite</v>
      </c>
      <c r="C126" t="str">
        <f>_xlfn.XLOOKUP(LightSpec[[#This Row],[Room]],Rooms[Code],Rooms[Floor])</f>
        <v>First</v>
      </c>
      <c r="D126" t="s">
        <v>154</v>
      </c>
      <c r="E126" t="s">
        <v>150</v>
      </c>
      <c r="F126" t="s">
        <v>339</v>
      </c>
      <c r="I126" t="s">
        <v>7</v>
      </c>
      <c r="J126" t="s">
        <v>14</v>
      </c>
      <c r="K126">
        <v>4</v>
      </c>
      <c r="L126" t="s">
        <v>13</v>
      </c>
      <c r="M126" t="s">
        <v>136</v>
      </c>
      <c r="N126" t="s">
        <v>140</v>
      </c>
      <c r="O126" t="s">
        <v>3</v>
      </c>
      <c r="P126" t="s">
        <v>113</v>
      </c>
      <c r="R126" t="s">
        <v>53</v>
      </c>
      <c r="S126">
        <f>IFERROR(VALUE(RIGHT(LightSpec[[#This Row],[From]],1)), 0)</f>
        <v>1</v>
      </c>
      <c r="T12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2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2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2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2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2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2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2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27" spans="1:27" hidden="1" x14ac:dyDescent="0.25">
      <c r="A127" t="str">
        <f>LightSpec[[#This Row],[From]]&amp;"-"&amp;LightSpec[[#This Row],[Room]]&amp;"-"&amp;LightSpec[[#This Row],[DiagNo]]</f>
        <v>D17O2-FME-C3</v>
      </c>
      <c r="B127" t="str">
        <f>_xlfn.XLOOKUP(LightSpec[[#This Row],[Room]],Rooms[Code],Rooms[Room])</f>
        <v>Master Ensuite</v>
      </c>
      <c r="C127" t="str">
        <f>_xlfn.XLOOKUP(LightSpec[[#This Row],[Room]],Rooms[Code],Rooms[Floor])</f>
        <v>First</v>
      </c>
      <c r="D127" t="s">
        <v>154</v>
      </c>
      <c r="E127" t="s">
        <v>149</v>
      </c>
      <c r="F127" t="s">
        <v>340</v>
      </c>
      <c r="I127" t="s">
        <v>18</v>
      </c>
      <c r="J127">
        <v>40</v>
      </c>
      <c r="K127">
        <v>2</v>
      </c>
      <c r="L127" t="s">
        <v>11</v>
      </c>
      <c r="M127" t="s">
        <v>136</v>
      </c>
      <c r="N127" t="s">
        <v>140</v>
      </c>
      <c r="O127">
        <v>80</v>
      </c>
      <c r="R127" t="s">
        <v>54</v>
      </c>
      <c r="S127">
        <f>IFERROR(VALUE(RIGHT(LightSpec[[#This Row],[From]],1)), 0)</f>
        <v>2</v>
      </c>
      <c r="T12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2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2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2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2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2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2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2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28" spans="1:27" hidden="1" x14ac:dyDescent="0.25">
      <c r="A128" s="6" t="str">
        <f>LightSpec[[#This Row],[From]]&amp;"-"&amp;LightSpec[[#This Row],[Room]]&amp;"-"&amp;LightSpec[[#This Row],[DiagNo]]</f>
        <v>D18O1-FME-C4</v>
      </c>
      <c r="B128" s="6" t="str">
        <f>_xlfn.XLOOKUP(LightSpec[[#This Row],[Room]],Rooms[Code],Rooms[Room])</f>
        <v>Master Ensuite</v>
      </c>
      <c r="C128" s="6" t="str">
        <f>_xlfn.XLOOKUP(LightSpec[[#This Row],[Room]],Rooms[Code],Rooms[Floor])</f>
        <v>First</v>
      </c>
      <c r="D128" s="6" t="s">
        <v>154</v>
      </c>
      <c r="E128" s="6" t="s">
        <v>148</v>
      </c>
      <c r="F128" s="6" t="s">
        <v>341</v>
      </c>
      <c r="G128" s="6"/>
      <c r="H128" s="6"/>
      <c r="I128" s="6" t="s">
        <v>343</v>
      </c>
      <c r="J128">
        <v>3</v>
      </c>
      <c r="K128">
        <v>2</v>
      </c>
      <c r="L128" t="s">
        <v>9</v>
      </c>
      <c r="M128" t="s">
        <v>115</v>
      </c>
      <c r="N128" t="s">
        <v>139</v>
      </c>
      <c r="O128">
        <v>6</v>
      </c>
      <c r="P128" t="s">
        <v>113</v>
      </c>
      <c r="R128" t="s">
        <v>55</v>
      </c>
      <c r="S128">
        <f>IFERROR(VALUE(RIGHT(LightSpec[[#This Row],[From]],1)), 0)</f>
        <v>1</v>
      </c>
      <c r="T12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2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2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2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2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2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2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2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29" spans="1:27" hidden="1" x14ac:dyDescent="0.25">
      <c r="A129" t="str">
        <f>LightSpec[[#This Row],[From]]&amp;"-"&amp;LightSpec[[#This Row],[Room]]&amp;"-"&amp;LightSpec[[#This Row],[DiagNo]]</f>
        <v>P2S1-FME-R1</v>
      </c>
      <c r="B129" t="str">
        <f>_xlfn.XLOOKUP(LightSpec[[#This Row],[Room]],Rooms[Code],Rooms[Room])</f>
        <v>Master Ensuite</v>
      </c>
      <c r="C129" t="str">
        <f>_xlfn.XLOOKUP(LightSpec[[#This Row],[Room]],Rooms[Code],Rooms[Floor])</f>
        <v>First</v>
      </c>
      <c r="D129" t="s">
        <v>154</v>
      </c>
      <c r="E129" t="s">
        <v>251</v>
      </c>
      <c r="F129" t="s">
        <v>342</v>
      </c>
      <c r="G129">
        <v>1</v>
      </c>
      <c r="I129" t="s">
        <v>307</v>
      </c>
      <c r="L129" t="s">
        <v>11</v>
      </c>
      <c r="M129" t="s">
        <v>92</v>
      </c>
      <c r="N129" t="s">
        <v>92</v>
      </c>
      <c r="R129" t="s">
        <v>254</v>
      </c>
      <c r="S129">
        <f>IFERROR(VALUE(RIGHT(LightSpec[[#This Row],[From]],1)), 0)</f>
        <v>1</v>
      </c>
      <c r="T12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Master Ensuite (PIR R1)</v>
      </c>
      <c r="U12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2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2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2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P2S1-FME-R1 (PIR R1)</v>
      </c>
      <c r="Y12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2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2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0" spans="1:27" hidden="1" x14ac:dyDescent="0.25">
      <c r="A130" t="str">
        <f>LightSpec[[#This Row],[From]]&amp;"-"&amp;LightSpec[[#This Row],[Room]]&amp;"-"&amp;LightSpec[[#This Row],[DiagNo]]</f>
        <v>MCB-FME-P1</v>
      </c>
      <c r="B130" t="str">
        <f>_xlfn.XLOOKUP(LightSpec[[#This Row],[Room]],Rooms[Code],Rooms[Room])</f>
        <v>Master Ensuite</v>
      </c>
      <c r="C130" t="str">
        <f>_xlfn.XLOOKUP(LightSpec[[#This Row],[Room]],Rooms[Code],Rooms[Floor])</f>
        <v>First</v>
      </c>
      <c r="D130" t="s">
        <v>154</v>
      </c>
      <c r="E130" t="s">
        <v>238</v>
      </c>
      <c r="F130" t="s">
        <v>206</v>
      </c>
      <c r="I130" t="s">
        <v>364</v>
      </c>
      <c r="L130" t="s">
        <v>11</v>
      </c>
      <c r="M130" t="s">
        <v>326</v>
      </c>
      <c r="N130" t="s">
        <v>247</v>
      </c>
      <c r="S130">
        <f>IFERROR(VALUE(RIGHT(LightSpec[[#This Row],[From]],1)), 0)</f>
        <v>0</v>
      </c>
      <c r="T13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1" spans="1:27" hidden="1" x14ac:dyDescent="0.25">
      <c r="A131" t="str">
        <f>LightSpec[[#This Row],[From]]&amp;"-"&amp;LightSpec[[#This Row],[Room]]&amp;"-"&amp;LightSpec[[#This Row],[DiagNo]]</f>
        <v>D18O2-FMB-C1</v>
      </c>
      <c r="B131" t="str">
        <f>_xlfn.XLOOKUP(LightSpec[[#This Row],[Room]],Rooms[Code],Rooms[Room])</f>
        <v>Master Bed</v>
      </c>
      <c r="C131" t="str">
        <f>_xlfn.XLOOKUP(LightSpec[[#This Row],[Room]],Rooms[Code],Rooms[Floor])</f>
        <v>First</v>
      </c>
      <c r="D131" t="s">
        <v>159</v>
      </c>
      <c r="E131" t="s">
        <v>151</v>
      </c>
      <c r="F131" t="s">
        <v>345</v>
      </c>
      <c r="I131" t="s">
        <v>4</v>
      </c>
      <c r="J131">
        <v>40</v>
      </c>
      <c r="K131">
        <v>1</v>
      </c>
      <c r="L131" t="s">
        <v>11</v>
      </c>
      <c r="M131" t="s">
        <v>136</v>
      </c>
      <c r="N131" t="s">
        <v>140</v>
      </c>
      <c r="O131">
        <v>40</v>
      </c>
      <c r="R131" t="s">
        <v>81</v>
      </c>
      <c r="S131">
        <f>IFERROR(VALUE(RIGHT(LightSpec[[#This Row],[From]],1)), 0)</f>
        <v>2</v>
      </c>
      <c r="T13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2" spans="1:27" hidden="1" x14ac:dyDescent="0.25">
      <c r="A132" t="str">
        <f>LightSpec[[#This Row],[From]]&amp;"-"&amp;LightSpec[[#This Row],[Room]]&amp;"-"&amp;LightSpec[[#This Row],[DiagNo]]</f>
        <v>D19O1-FMB-C2</v>
      </c>
      <c r="B132" t="str">
        <f>_xlfn.XLOOKUP(LightSpec[[#This Row],[Room]],Rooms[Code],Rooms[Room])</f>
        <v>Master Bed</v>
      </c>
      <c r="C132" t="str">
        <f>_xlfn.XLOOKUP(LightSpec[[#This Row],[Room]],Rooms[Code],Rooms[Floor])</f>
        <v>First</v>
      </c>
      <c r="D132" t="s">
        <v>159</v>
      </c>
      <c r="E132" t="s">
        <v>150</v>
      </c>
      <c r="F132" t="s">
        <v>346</v>
      </c>
      <c r="I132" t="s">
        <v>4</v>
      </c>
      <c r="J132">
        <v>40</v>
      </c>
      <c r="K132">
        <v>1</v>
      </c>
      <c r="L132" t="s">
        <v>11</v>
      </c>
      <c r="M132" t="s">
        <v>136</v>
      </c>
      <c r="N132" t="s">
        <v>140</v>
      </c>
      <c r="O132">
        <v>40</v>
      </c>
      <c r="R132" t="s">
        <v>82</v>
      </c>
      <c r="S132">
        <f>IFERROR(VALUE(RIGHT(LightSpec[[#This Row],[From]],1)), 0)</f>
        <v>1</v>
      </c>
      <c r="T13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3" spans="1:27" hidden="1" x14ac:dyDescent="0.25">
      <c r="A133" t="str">
        <f>LightSpec[[#This Row],[From]]&amp;"-"&amp;LightSpec[[#This Row],[Room]]&amp;"-"&amp;LightSpec[[#This Row],[DiagNo]]</f>
        <v>D19O2-FMB-C3</v>
      </c>
      <c r="B133" t="str">
        <f>_xlfn.XLOOKUP(LightSpec[[#This Row],[Room]],Rooms[Code],Rooms[Room])</f>
        <v>Master Bed</v>
      </c>
      <c r="C133" t="str">
        <f>_xlfn.XLOOKUP(LightSpec[[#This Row],[Room]],Rooms[Code],Rooms[Floor])</f>
        <v>First</v>
      </c>
      <c r="D133" t="s">
        <v>159</v>
      </c>
      <c r="E133" t="s">
        <v>149</v>
      </c>
      <c r="F133" t="s">
        <v>347</v>
      </c>
      <c r="I133" t="s">
        <v>18</v>
      </c>
      <c r="J133">
        <v>40</v>
      </c>
      <c r="K133">
        <v>2</v>
      </c>
      <c r="L133" t="s">
        <v>11</v>
      </c>
      <c r="M133" t="s">
        <v>136</v>
      </c>
      <c r="N133" t="s">
        <v>140</v>
      </c>
      <c r="O133">
        <v>80</v>
      </c>
      <c r="R133" t="s">
        <v>56</v>
      </c>
      <c r="S133">
        <f>IFERROR(VALUE(RIGHT(LightSpec[[#This Row],[From]],1)), 0)</f>
        <v>2</v>
      </c>
      <c r="T13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4" spans="1:27" hidden="1" x14ac:dyDescent="0.25">
      <c r="A134" s="3" t="str">
        <f>LightSpec[[#This Row],[From]]&amp;"-"&amp;LightSpec[[#This Row],[Room]]&amp;"-"&amp;LightSpec[[#This Row],[DiagNo]]</f>
        <v>NA-FMB-C4</v>
      </c>
      <c r="B134" s="3" t="str">
        <f>_xlfn.XLOOKUP(LightSpec[[#This Row],[Room]],Rooms[Code],Rooms[Room])</f>
        <v>Master Bed</v>
      </c>
      <c r="C134" s="3" t="str">
        <f>_xlfn.XLOOKUP(LightSpec[[#This Row],[Room]],Rooms[Code],Rooms[Floor])</f>
        <v>First</v>
      </c>
      <c r="D134" s="3" t="s">
        <v>159</v>
      </c>
      <c r="E134" s="3" t="s">
        <v>148</v>
      </c>
      <c r="F134" s="3" t="s">
        <v>247</v>
      </c>
      <c r="G134" s="3"/>
      <c r="H134" s="3"/>
      <c r="I134" s="3" t="s">
        <v>293</v>
      </c>
      <c r="J134" s="3"/>
      <c r="K134" s="3"/>
      <c r="L134" s="3"/>
      <c r="M134" s="3" t="s">
        <v>247</v>
      </c>
      <c r="N134" s="3" t="s">
        <v>247</v>
      </c>
      <c r="O134" s="3" t="s">
        <v>247</v>
      </c>
      <c r="P134" s="3"/>
      <c r="Q134" s="3"/>
      <c r="R134" s="3" t="s">
        <v>57</v>
      </c>
      <c r="S134">
        <f>IFERROR(VALUE(RIGHT(LightSpec[[#This Row],[From]],1)), 0)</f>
        <v>0</v>
      </c>
      <c r="T13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5" spans="1:27" x14ac:dyDescent="0.25">
      <c r="A135" t="str">
        <f>LightSpec[[#This Row],[From]]&amp;"-"&amp;LightSpec[[#This Row],[Room]]&amp;"-"&amp;LightSpec[[#This Row],[DiagNo]]</f>
        <v>D20O1-FMB-C5</v>
      </c>
      <c r="B135" t="str">
        <f>_xlfn.XLOOKUP(LightSpec[[#This Row],[Room]],Rooms[Code],Rooms[Room])</f>
        <v>Master Bed</v>
      </c>
      <c r="C135" t="str">
        <f>_xlfn.XLOOKUP(LightSpec[[#This Row],[Room]],Rooms[Code],Rooms[Floor])</f>
        <v>First</v>
      </c>
      <c r="D135" t="s">
        <v>159</v>
      </c>
      <c r="E135" t="s">
        <v>147</v>
      </c>
      <c r="F135" t="s">
        <v>348</v>
      </c>
      <c r="I135" t="s">
        <v>6</v>
      </c>
      <c r="J135">
        <v>3</v>
      </c>
      <c r="K135">
        <v>6</v>
      </c>
      <c r="L135" t="s">
        <v>9</v>
      </c>
      <c r="M135" t="s">
        <v>136</v>
      </c>
      <c r="N135" t="s">
        <v>140</v>
      </c>
      <c r="O135">
        <v>18</v>
      </c>
      <c r="P135" t="s">
        <v>113</v>
      </c>
      <c r="R135" t="s">
        <v>83</v>
      </c>
      <c r="S135">
        <f>IFERROR(VALUE(RIGHT(LightSpec[[#This Row],[From]],1)), 0)</f>
        <v>1</v>
      </c>
      <c r="T13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6" spans="1:27" x14ac:dyDescent="0.25">
      <c r="A136" t="str">
        <f>LightSpec[[#This Row],[From]]&amp;"-"&amp;LightSpec[[#This Row],[Room]]&amp;"-"&amp;LightSpec[[#This Row],[DiagNo]]</f>
        <v>D20O2-FMB-C6</v>
      </c>
      <c r="B136" t="str">
        <f>_xlfn.XLOOKUP(LightSpec[[#This Row],[Room]],Rooms[Code],Rooms[Room])</f>
        <v>Master Bed</v>
      </c>
      <c r="C136" t="str">
        <f>_xlfn.XLOOKUP(LightSpec[[#This Row],[Room]],Rooms[Code],Rooms[Floor])</f>
        <v>First</v>
      </c>
      <c r="D136" t="s">
        <v>159</v>
      </c>
      <c r="E136" t="s">
        <v>146</v>
      </c>
      <c r="F136" t="s">
        <v>349</v>
      </c>
      <c r="I136" t="s">
        <v>17</v>
      </c>
      <c r="J136">
        <v>60</v>
      </c>
      <c r="K136">
        <v>1</v>
      </c>
      <c r="L136" t="s">
        <v>11</v>
      </c>
      <c r="M136" t="s">
        <v>136</v>
      </c>
      <c r="N136" t="s">
        <v>140</v>
      </c>
      <c r="O136">
        <v>60</v>
      </c>
      <c r="R136" t="s">
        <v>58</v>
      </c>
      <c r="S136">
        <f>IFERROR(VALUE(RIGHT(LightSpec[[#This Row],[From]],1)), 0)</f>
        <v>2</v>
      </c>
      <c r="T13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7" spans="1:27" hidden="1" x14ac:dyDescent="0.25">
      <c r="A137" t="str">
        <f>LightSpec[[#This Row],[From]]&amp;"-"&amp;LightSpec[[#This Row],[Room]]&amp;"-"&amp;LightSpec[[#This Row],[DiagNo]]</f>
        <v>MCB-FMB-P1</v>
      </c>
      <c r="B137" t="str">
        <f>_xlfn.XLOOKUP(LightSpec[[#This Row],[Room]],Rooms[Code],Rooms[Room])</f>
        <v>Master Bed</v>
      </c>
      <c r="C137" t="str">
        <f>_xlfn.XLOOKUP(LightSpec[[#This Row],[Room]],Rooms[Code],Rooms[Floor])</f>
        <v>First</v>
      </c>
      <c r="D137" t="s">
        <v>159</v>
      </c>
      <c r="E137" t="s">
        <v>238</v>
      </c>
      <c r="F137" t="s">
        <v>206</v>
      </c>
      <c r="I137" t="s">
        <v>239</v>
      </c>
      <c r="L137" t="s">
        <v>11</v>
      </c>
      <c r="M137" t="s">
        <v>248</v>
      </c>
      <c r="N137" t="s">
        <v>247</v>
      </c>
      <c r="R137" t="s">
        <v>250</v>
      </c>
      <c r="S137">
        <f>IFERROR(VALUE(RIGHT(LightSpec[[#This Row],[From]],1)), 0)</f>
        <v>0</v>
      </c>
      <c r="T13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8" spans="1:27" hidden="1" x14ac:dyDescent="0.25">
      <c r="A138" t="str">
        <f>LightSpec[[#This Row],[From]]&amp;"-"&amp;LightSpec[[#This Row],[Room]]&amp;"-"&amp;LightSpec[[#This Row],[DiagNo]]</f>
        <v>MCB-FMB-P2</v>
      </c>
      <c r="B138" t="str">
        <f>_xlfn.XLOOKUP(LightSpec[[#This Row],[Room]],Rooms[Code],Rooms[Room])</f>
        <v>Master Bed</v>
      </c>
      <c r="C138" t="str">
        <f>_xlfn.XLOOKUP(LightSpec[[#This Row],[Room]],Rooms[Code],Rooms[Floor])</f>
        <v>First</v>
      </c>
      <c r="D138" t="s">
        <v>159</v>
      </c>
      <c r="E138" t="s">
        <v>237</v>
      </c>
      <c r="F138" t="s">
        <v>206</v>
      </c>
      <c r="I138" t="s">
        <v>239</v>
      </c>
      <c r="L138" t="s">
        <v>11</v>
      </c>
      <c r="M138" t="s">
        <v>248</v>
      </c>
      <c r="N138" t="s">
        <v>247</v>
      </c>
      <c r="R138" t="s">
        <v>250</v>
      </c>
      <c r="S138">
        <f>IFERROR(VALUE(RIGHT(LightSpec[[#This Row],[From]],1)), 0)</f>
        <v>0</v>
      </c>
      <c r="T13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39" spans="1:27" hidden="1" x14ac:dyDescent="0.25">
      <c r="A139" t="str">
        <f>LightSpec[[#This Row],[From]]&amp;"-"&amp;LightSpec[[#This Row],[Room]]&amp;"-"&amp;LightSpec[[#This Row],[DiagNo]]</f>
        <v>MCB-FMB-P3</v>
      </c>
      <c r="B139" t="str">
        <f>_xlfn.XLOOKUP(LightSpec[[#This Row],[Room]],Rooms[Code],Rooms[Room])</f>
        <v>Master Bed</v>
      </c>
      <c r="C139" t="str">
        <f>_xlfn.XLOOKUP(LightSpec[[#This Row],[Room]],Rooms[Code],Rooms[Floor])</f>
        <v>First</v>
      </c>
      <c r="D139" t="s">
        <v>159</v>
      </c>
      <c r="E139" t="s">
        <v>245</v>
      </c>
      <c r="F139" t="s">
        <v>206</v>
      </c>
      <c r="I139" t="s">
        <v>239</v>
      </c>
      <c r="L139" t="s">
        <v>11</v>
      </c>
      <c r="M139" t="s">
        <v>248</v>
      </c>
      <c r="N139" t="s">
        <v>247</v>
      </c>
      <c r="R139" t="s">
        <v>250</v>
      </c>
      <c r="S139">
        <f>IFERROR(VALUE(RIGHT(LightSpec[[#This Row],[From]],1)), 0)</f>
        <v>0</v>
      </c>
      <c r="T13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3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3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3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3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3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3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3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40" spans="1:27" hidden="1" x14ac:dyDescent="0.25">
      <c r="A140" t="str">
        <f>LightSpec[[#This Row],[From]]&amp;"-"&amp;LightSpec[[#This Row],[Room]]&amp;"-"&amp;LightSpec[[#This Row],[DiagNo]]</f>
        <v>MCB-FMB-P4</v>
      </c>
      <c r="B140" t="str">
        <f>_xlfn.XLOOKUP(LightSpec[[#This Row],[Room]],Rooms[Code],Rooms[Room])</f>
        <v>Master Bed</v>
      </c>
      <c r="C140" t="str">
        <f>_xlfn.XLOOKUP(LightSpec[[#This Row],[Room]],Rooms[Code],Rooms[Floor])</f>
        <v>First</v>
      </c>
      <c r="D140" t="s">
        <v>159</v>
      </c>
      <c r="E140" t="s">
        <v>294</v>
      </c>
      <c r="F140" t="s">
        <v>206</v>
      </c>
      <c r="I140" t="s">
        <v>239</v>
      </c>
      <c r="L140" t="s">
        <v>11</v>
      </c>
      <c r="M140" t="s">
        <v>248</v>
      </c>
      <c r="N140" t="s">
        <v>247</v>
      </c>
      <c r="R140" t="s">
        <v>250</v>
      </c>
      <c r="S140">
        <f>IFERROR(VALUE(RIGHT(LightSpec[[#This Row],[From]],1)), 0)</f>
        <v>0</v>
      </c>
      <c r="T14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4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4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4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4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4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4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4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41" spans="1:27" hidden="1" x14ac:dyDescent="0.25">
      <c r="A141" t="str">
        <f>LightSpec[[#This Row],[From]]&amp;"-"&amp;LightSpec[[#This Row],[Room]]&amp;"-"&amp;LightSpec[[#This Row],[DiagNo]]</f>
        <v>MCB-FMB-P5</v>
      </c>
      <c r="B141" t="str">
        <f>_xlfn.XLOOKUP(LightSpec[[#This Row],[Room]],Rooms[Code],Rooms[Room])</f>
        <v>Master Bed</v>
      </c>
      <c r="C141" t="str">
        <f>_xlfn.XLOOKUP(LightSpec[[#This Row],[Room]],Rooms[Code],Rooms[Floor])</f>
        <v>First</v>
      </c>
      <c r="D141" t="s">
        <v>159</v>
      </c>
      <c r="E141" t="s">
        <v>295</v>
      </c>
      <c r="F141" t="s">
        <v>206</v>
      </c>
      <c r="I141" t="s">
        <v>239</v>
      </c>
      <c r="L141" t="s">
        <v>11</v>
      </c>
      <c r="M141" t="s">
        <v>248</v>
      </c>
      <c r="N141" t="s">
        <v>247</v>
      </c>
      <c r="R141" t="s">
        <v>250</v>
      </c>
      <c r="S141">
        <f>IFERROR(VALUE(RIGHT(LightSpec[[#This Row],[From]],1)), 0)</f>
        <v>0</v>
      </c>
      <c r="T14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4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4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4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4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4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4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4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42" spans="1:27" hidden="1" x14ac:dyDescent="0.25">
      <c r="A142" t="str">
        <f>LightSpec[[#This Row],[From]]&amp;"-"&amp;LightSpec[[#This Row],[Room]]&amp;"-"&amp;LightSpec[[#This Row],[DiagNo]]</f>
        <v>E15-FMB-D1</v>
      </c>
      <c r="B142" t="str">
        <f>_xlfn.XLOOKUP(LightSpec[[#This Row],[Room]],Rooms[Code],Rooms[Room])</f>
        <v>Master Bed</v>
      </c>
      <c r="C142" t="str">
        <f>_xlfn.XLOOKUP(LightSpec[[#This Row],[Room]],Rooms[Code],Rooms[Floor])</f>
        <v>First</v>
      </c>
      <c r="D142" t="s">
        <v>159</v>
      </c>
      <c r="E142" t="s">
        <v>266</v>
      </c>
      <c r="F142" t="s">
        <v>384</v>
      </c>
      <c r="I142" t="s">
        <v>268</v>
      </c>
      <c r="L142" t="s">
        <v>269</v>
      </c>
      <c r="M142" t="s">
        <v>270</v>
      </c>
      <c r="N142" t="s">
        <v>247</v>
      </c>
      <c r="R142" t="s">
        <v>271</v>
      </c>
      <c r="S142">
        <f>IFERROR(VALUE(RIGHT(LightSpec[[#This Row],[From]],1)), 0)</f>
        <v>5</v>
      </c>
      <c r="T14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4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4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4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4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4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4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4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43" spans="1:27" hidden="1" x14ac:dyDescent="0.25">
      <c r="A143" t="str">
        <f>LightSpec[[#This Row],[From]]&amp;"-"&amp;LightSpec[[#This Row],[Room]]&amp;"-"&amp;LightSpec[[#This Row],[DiagNo]]</f>
        <v>T1-FMB-TV</v>
      </c>
      <c r="B143" t="str">
        <f>_xlfn.XLOOKUP(LightSpec[[#This Row],[Room]],Rooms[Code],Rooms[Room])</f>
        <v>Master Bed</v>
      </c>
      <c r="C143" t="str">
        <f>_xlfn.XLOOKUP(LightSpec[[#This Row],[Room]],Rooms[Code],Rooms[Floor])</f>
        <v>First</v>
      </c>
      <c r="D143" t="s">
        <v>159</v>
      </c>
      <c r="E143" t="s">
        <v>240</v>
      </c>
      <c r="F143" t="s">
        <v>297</v>
      </c>
      <c r="I143" t="s">
        <v>298</v>
      </c>
      <c r="L143" t="s">
        <v>240</v>
      </c>
      <c r="M143" t="s">
        <v>240</v>
      </c>
      <c r="N143" t="s">
        <v>247</v>
      </c>
      <c r="R143" t="s">
        <v>299</v>
      </c>
      <c r="S143">
        <f>IFERROR(VALUE(RIGHT(LightSpec[[#This Row],[From]],1)), 0)</f>
        <v>1</v>
      </c>
      <c r="T14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4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4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4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4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4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4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4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44" spans="1:27" hidden="1" x14ac:dyDescent="0.25">
      <c r="A144" t="str">
        <f>LightSpec[[#This Row],[From]]&amp;"-"&amp;LightSpec[[#This Row],[Room]]&amp;"-"&amp;LightSpec[[#This Row],[DiagNo]]</f>
        <v>D19S1-FMB-S1</v>
      </c>
      <c r="B144" t="str">
        <f>_xlfn.XLOOKUP(LightSpec[[#This Row],[Room]],Rooms[Code],Rooms[Room])</f>
        <v>Master Bed</v>
      </c>
      <c r="C144" t="str">
        <f>_xlfn.XLOOKUP(LightSpec[[#This Row],[Room]],Rooms[Code],Rooms[Floor])</f>
        <v>First</v>
      </c>
      <c r="D144" t="s">
        <v>159</v>
      </c>
      <c r="E144" t="s">
        <v>192</v>
      </c>
      <c r="F144" t="s">
        <v>350</v>
      </c>
      <c r="G144">
        <v>4</v>
      </c>
      <c r="H144">
        <v>0</v>
      </c>
      <c r="I144" t="s">
        <v>229</v>
      </c>
      <c r="L144" t="s">
        <v>11</v>
      </c>
      <c r="M144" t="s">
        <v>279</v>
      </c>
      <c r="N144" t="s">
        <v>409</v>
      </c>
      <c r="S144">
        <f>IFERROR(VALUE(RIGHT(LightSpec[[#This Row],[From]],1)), 0)</f>
        <v>1</v>
      </c>
      <c r="T14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Master Bed (Switch S1)</v>
      </c>
      <c r="U14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Master Bed (Switch S1)</v>
      </c>
      <c r="V14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Master Bed (Switch S1)</v>
      </c>
      <c r="W14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Master Bed (Switch S1)</v>
      </c>
      <c r="X14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D19S1-FMB-S1 (Switch S1)</v>
      </c>
      <c r="Y14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D19S1-FMB-S1 (Switch S1)</v>
      </c>
      <c r="Z14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D19S1-FMB-S1 (Switch S1)</v>
      </c>
      <c r="AA14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D19S1-FMB-S1 (Switch S1)</v>
      </c>
    </row>
    <row r="145" spans="1:27" x14ac:dyDescent="0.25">
      <c r="A145" s="6" t="str">
        <f>LightSpec[[#This Row],[From]]&amp;"-"&amp;LightSpec[[#This Row],[Room]]&amp;"-"&amp;LightSpec[[#This Row],[DiagNo]]</f>
        <v>D21O1-FMB-BC3</v>
      </c>
      <c r="B145" s="6" t="str">
        <f>_xlfn.XLOOKUP(LightSpec[[#This Row],[Room]],Rooms[Code],Rooms[Room])</f>
        <v>Master Bed</v>
      </c>
      <c r="C145" s="6" t="str">
        <f>_xlfn.XLOOKUP(LightSpec[[#This Row],[Room]],Rooms[Code],Rooms[Floor])</f>
        <v>First</v>
      </c>
      <c r="D145" s="6" t="s">
        <v>159</v>
      </c>
      <c r="E145" s="6" t="s">
        <v>381</v>
      </c>
      <c r="F145" s="6" t="s">
        <v>351</v>
      </c>
      <c r="G145" s="6"/>
      <c r="H145" s="6"/>
      <c r="I145" s="6" t="s">
        <v>652</v>
      </c>
      <c r="J145" t="s">
        <v>3</v>
      </c>
      <c r="K145">
        <v>3</v>
      </c>
      <c r="L145" t="s">
        <v>11</v>
      </c>
      <c r="M145" t="s">
        <v>136</v>
      </c>
      <c r="N145" t="s">
        <v>140</v>
      </c>
      <c r="S145">
        <f>IFERROR(VALUE(RIGHT(LightSpec[[#This Row],[From]],1)), 0)</f>
        <v>1</v>
      </c>
      <c r="T14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4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4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4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4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4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4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4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46" spans="1:27" hidden="1" x14ac:dyDescent="0.25">
      <c r="A146" t="str">
        <f>LightSpec[[#This Row],[From]]&amp;"-"&amp;LightSpec[[#This Row],[Room]]&amp;"-"&amp;LightSpec[[#This Row],[DiagNo]]</f>
        <v>E6-FMB-A1</v>
      </c>
      <c r="B146" t="str">
        <f>_xlfn.XLOOKUP(LightSpec[[#This Row],[Room]],Rooms[Code],Rooms[Room])</f>
        <v>Master Bed</v>
      </c>
      <c r="C146" t="str">
        <f>_xlfn.XLOOKUP(LightSpec[[#This Row],[Room]],Rooms[Code],Rooms[Floor])</f>
        <v>First</v>
      </c>
      <c r="D146" t="s">
        <v>159</v>
      </c>
      <c r="E146" t="s">
        <v>256</v>
      </c>
      <c r="F146" t="s">
        <v>311</v>
      </c>
      <c r="I146" t="s">
        <v>258</v>
      </c>
      <c r="L146" t="s">
        <v>269</v>
      </c>
      <c r="M146" t="s">
        <v>262</v>
      </c>
      <c r="N146" t="s">
        <v>247</v>
      </c>
      <c r="R146" t="s">
        <v>259</v>
      </c>
      <c r="S146">
        <f>IFERROR(VALUE(RIGHT(LightSpec[[#This Row],[From]],1)), 0)</f>
        <v>6</v>
      </c>
      <c r="T14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4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4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4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4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4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4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4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47" spans="1:27" hidden="1" x14ac:dyDescent="0.25">
      <c r="A147" s="6" t="str">
        <f>LightSpec[[#This Row],[From]]&amp;"-"&amp;LightSpec[[#This Row],[Room]]&amp;"-"&amp;LightSpec[[#This Row],[DiagNo]]</f>
        <v>P3S1-FMB-R1</v>
      </c>
      <c r="B147" s="6" t="str">
        <f>_xlfn.XLOOKUP(LightSpec[[#This Row],[Room]],Rooms[Code],Rooms[Room])</f>
        <v>Master Bed</v>
      </c>
      <c r="C147" s="6" t="str">
        <f>_xlfn.XLOOKUP(LightSpec[[#This Row],[Room]],Rooms[Code],Rooms[Floor])</f>
        <v>First</v>
      </c>
      <c r="D147" s="6" t="s">
        <v>159</v>
      </c>
      <c r="E147" s="6" t="s">
        <v>251</v>
      </c>
      <c r="F147" s="6" t="s">
        <v>389</v>
      </c>
      <c r="G147" s="6">
        <v>1</v>
      </c>
      <c r="H147" s="6"/>
      <c r="I147" s="6" t="s">
        <v>390</v>
      </c>
      <c r="L147" t="s">
        <v>11</v>
      </c>
      <c r="M147" t="s">
        <v>92</v>
      </c>
      <c r="N147" t="s">
        <v>92</v>
      </c>
      <c r="R147" t="s">
        <v>254</v>
      </c>
      <c r="S147">
        <f>IFERROR(VALUE(RIGHT(LightSpec[[#This Row],[From]],1)), 0)</f>
        <v>1</v>
      </c>
      <c r="T14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Master Bed (PIR R1)</v>
      </c>
      <c r="U14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4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4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4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P3S1-FMB-R1 (PIR R1)</v>
      </c>
      <c r="Y14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4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4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48" spans="1:27" hidden="1" x14ac:dyDescent="0.25">
      <c r="A148" t="str">
        <f>LightSpec[[#This Row],[From]]&amp;"-"&amp;LightSpec[[#This Row],[Room]]&amp;"-"&amp;LightSpec[[#This Row],[DiagNo]]</f>
        <v>MCB-FMB-P6</v>
      </c>
      <c r="B148" t="str">
        <f>_xlfn.XLOOKUP(LightSpec[[#This Row],[Room]],Rooms[Code],Rooms[Room])</f>
        <v>Master Bed</v>
      </c>
      <c r="C148" t="str">
        <f>_xlfn.XLOOKUP(LightSpec[[#This Row],[Room]],Rooms[Code],Rooms[Floor])</f>
        <v>First</v>
      </c>
      <c r="D148" t="s">
        <v>159</v>
      </c>
      <c r="E148" t="s">
        <v>394</v>
      </c>
      <c r="F148" t="s">
        <v>206</v>
      </c>
      <c r="I148" s="2" t="s">
        <v>397</v>
      </c>
      <c r="L148" t="s">
        <v>11</v>
      </c>
      <c r="M148" t="s">
        <v>398</v>
      </c>
      <c r="S148">
        <f>IFERROR(VALUE(RIGHT(LightSpec[[#This Row],[From]],1)), 0)</f>
        <v>0</v>
      </c>
      <c r="T14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4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4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4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4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4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4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4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49" spans="1:27" hidden="1" x14ac:dyDescent="0.25">
      <c r="A149" t="str">
        <f>LightSpec[[#This Row],[From]]&amp;"-"&amp;LightSpec[[#This Row],[Room]]&amp;"-"&amp;LightSpec[[#This Row],[DiagNo]]</f>
        <v>MCB-FMB-P7</v>
      </c>
      <c r="B149" t="str">
        <f>_xlfn.XLOOKUP(LightSpec[[#This Row],[Room]],Rooms[Code],Rooms[Room])</f>
        <v>Master Bed</v>
      </c>
      <c r="C149" t="str">
        <f>_xlfn.XLOOKUP(LightSpec[[#This Row],[Room]],Rooms[Code],Rooms[Floor])</f>
        <v>First</v>
      </c>
      <c r="D149" t="s">
        <v>159</v>
      </c>
      <c r="E149" t="s">
        <v>395</v>
      </c>
      <c r="F149" t="s">
        <v>206</v>
      </c>
      <c r="I149" s="2" t="s">
        <v>397</v>
      </c>
      <c r="L149" t="s">
        <v>11</v>
      </c>
      <c r="M149" t="s">
        <v>398</v>
      </c>
      <c r="S149">
        <f>IFERROR(VALUE(RIGHT(LightSpec[[#This Row],[From]],1)), 0)</f>
        <v>0</v>
      </c>
      <c r="T14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4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4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4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4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4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4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4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0" spans="1:27" hidden="1" x14ac:dyDescent="0.25">
      <c r="A150" t="str">
        <f>LightSpec[[#This Row],[From]]&amp;"-"&amp;LightSpec[[#This Row],[Room]]&amp;"-"&amp;LightSpec[[#This Row],[DiagNo]]</f>
        <v>MCB-FMB-P8</v>
      </c>
      <c r="B150" t="str">
        <f>_xlfn.XLOOKUP(LightSpec[[#This Row],[Room]],Rooms[Code],Rooms[Room])</f>
        <v>Master Bed</v>
      </c>
      <c r="C150" t="str">
        <f>_xlfn.XLOOKUP(LightSpec[[#This Row],[Room]],Rooms[Code],Rooms[Floor])</f>
        <v>First</v>
      </c>
      <c r="D150" t="s">
        <v>159</v>
      </c>
      <c r="E150" t="s">
        <v>396</v>
      </c>
      <c r="F150" t="s">
        <v>206</v>
      </c>
      <c r="I150" s="2" t="s">
        <v>397</v>
      </c>
      <c r="L150" t="s">
        <v>11</v>
      </c>
      <c r="M150" t="s">
        <v>398</v>
      </c>
      <c r="S150">
        <f>IFERROR(VALUE(RIGHT(LightSpec[[#This Row],[From]],1)), 0)</f>
        <v>0</v>
      </c>
      <c r="T15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1" spans="1:27" x14ac:dyDescent="0.25">
      <c r="A151" t="str">
        <f>LightSpec[[#This Row],[From]]&amp;"-"&amp;LightSpec[[#This Row],[Room]]&amp;"-"&amp;LightSpec[[#This Row],[DiagNo]]</f>
        <v>D21O2-FB2-C1</v>
      </c>
      <c r="B151" t="str">
        <f>_xlfn.XLOOKUP(LightSpec[[#This Row],[Room]],Rooms[Code],Rooms[Room])</f>
        <v>Bed 2</v>
      </c>
      <c r="C151" t="str">
        <f>_xlfn.XLOOKUP(LightSpec[[#This Row],[Room]],Rooms[Code],Rooms[Floor])</f>
        <v>First</v>
      </c>
      <c r="D151" t="s">
        <v>160</v>
      </c>
      <c r="E151" t="s">
        <v>151</v>
      </c>
      <c r="F151" t="s">
        <v>352</v>
      </c>
      <c r="I151" t="s">
        <v>4</v>
      </c>
      <c r="J151">
        <v>60</v>
      </c>
      <c r="K151">
        <v>1</v>
      </c>
      <c r="L151" t="s">
        <v>11</v>
      </c>
      <c r="M151" t="s">
        <v>136</v>
      </c>
      <c r="N151" t="s">
        <v>140</v>
      </c>
      <c r="O151">
        <v>60</v>
      </c>
      <c r="R151" t="s">
        <v>59</v>
      </c>
      <c r="S151">
        <f>IFERROR(VALUE(RIGHT(LightSpec[[#This Row],[From]],1)), 0)</f>
        <v>2</v>
      </c>
      <c r="T15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2" spans="1:27" hidden="1" x14ac:dyDescent="0.25">
      <c r="A152" s="3" t="str">
        <f>LightSpec[[#This Row],[From]]&amp;"-"&amp;LightSpec[[#This Row],[Room]]&amp;"-"&amp;LightSpec[[#This Row],[DiagNo]]</f>
        <v>NA-FB2-C2</v>
      </c>
      <c r="B152" s="3" t="str">
        <f>_xlfn.XLOOKUP(LightSpec[[#This Row],[Room]],Rooms[Code],Rooms[Room])</f>
        <v>Bed 2</v>
      </c>
      <c r="C152" s="3" t="str">
        <f>_xlfn.XLOOKUP(LightSpec[[#This Row],[Room]],Rooms[Code],Rooms[Floor])</f>
        <v>First</v>
      </c>
      <c r="D152" s="3" t="s">
        <v>160</v>
      </c>
      <c r="E152" s="3" t="s">
        <v>150</v>
      </c>
      <c r="F152" s="3" t="s">
        <v>247</v>
      </c>
      <c r="G152" s="3"/>
      <c r="H152" s="3"/>
      <c r="I152" s="3" t="s">
        <v>293</v>
      </c>
      <c r="J152" s="3"/>
      <c r="K152" s="3"/>
      <c r="L152" s="3"/>
      <c r="M152" s="3" t="s">
        <v>247</v>
      </c>
      <c r="N152" s="3" t="s">
        <v>247</v>
      </c>
      <c r="O152" s="3" t="s">
        <v>247</v>
      </c>
      <c r="P152" s="3"/>
      <c r="Q152" s="3"/>
      <c r="R152" s="3" t="s">
        <v>60</v>
      </c>
      <c r="S152">
        <f>IFERROR(VALUE(RIGHT(LightSpec[[#This Row],[From]],1)), 0)</f>
        <v>0</v>
      </c>
      <c r="T15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3" spans="1:27" x14ac:dyDescent="0.25">
      <c r="A153" t="str">
        <f>LightSpec[[#This Row],[From]]&amp;"-"&amp;LightSpec[[#This Row],[Room]]&amp;"-"&amp;LightSpec[[#This Row],[DiagNo]]</f>
        <v>D22O1-FB2-C3</v>
      </c>
      <c r="B153" t="str">
        <f>_xlfn.XLOOKUP(LightSpec[[#This Row],[Room]],Rooms[Code],Rooms[Room])</f>
        <v>Bed 2</v>
      </c>
      <c r="C153" t="str">
        <f>_xlfn.XLOOKUP(LightSpec[[#This Row],[Room]],Rooms[Code],Rooms[Floor])</f>
        <v>First</v>
      </c>
      <c r="D153" t="s">
        <v>160</v>
      </c>
      <c r="E153" t="s">
        <v>149</v>
      </c>
      <c r="F153" t="s">
        <v>353</v>
      </c>
      <c r="I153" t="s">
        <v>7</v>
      </c>
      <c r="J153" t="s">
        <v>14</v>
      </c>
      <c r="K153">
        <v>1</v>
      </c>
      <c r="L153" t="s">
        <v>13</v>
      </c>
      <c r="M153" t="s">
        <v>136</v>
      </c>
      <c r="N153" t="s">
        <v>140</v>
      </c>
      <c r="O153" t="s">
        <v>3</v>
      </c>
      <c r="P153" t="s">
        <v>113</v>
      </c>
      <c r="R153" t="s">
        <v>61</v>
      </c>
      <c r="S153">
        <f>IFERROR(VALUE(RIGHT(LightSpec[[#This Row],[From]],1)), 0)</f>
        <v>1</v>
      </c>
      <c r="T15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4" spans="1:27" hidden="1" x14ac:dyDescent="0.25">
      <c r="A154" t="str">
        <f>LightSpec[[#This Row],[From]]&amp;"-"&amp;LightSpec[[#This Row],[Room]]&amp;"-"&amp;LightSpec[[#This Row],[DiagNo]]</f>
        <v>MCB-FB2-P1</v>
      </c>
      <c r="B154" t="str">
        <f>_xlfn.XLOOKUP(LightSpec[[#This Row],[Room]],Rooms[Code],Rooms[Room])</f>
        <v>Bed 2</v>
      </c>
      <c r="C154" t="str">
        <f>_xlfn.XLOOKUP(LightSpec[[#This Row],[Room]],Rooms[Code],Rooms[Floor])</f>
        <v>First</v>
      </c>
      <c r="D154" t="s">
        <v>160</v>
      </c>
      <c r="E154" t="s">
        <v>238</v>
      </c>
      <c r="F154" t="s">
        <v>206</v>
      </c>
      <c r="I154" t="s">
        <v>239</v>
      </c>
      <c r="L154" t="s">
        <v>11</v>
      </c>
      <c r="M154" t="s">
        <v>248</v>
      </c>
      <c r="N154" t="s">
        <v>247</v>
      </c>
      <c r="R154" t="s">
        <v>250</v>
      </c>
      <c r="S154">
        <f>IFERROR(VALUE(RIGHT(LightSpec[[#This Row],[From]],1)), 0)</f>
        <v>0</v>
      </c>
      <c r="T15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5" spans="1:27" hidden="1" x14ac:dyDescent="0.25">
      <c r="A155" t="str">
        <f>LightSpec[[#This Row],[From]]&amp;"-"&amp;LightSpec[[#This Row],[Room]]&amp;"-"&amp;LightSpec[[#This Row],[DiagNo]]</f>
        <v>MCB-FB2-P2</v>
      </c>
      <c r="B155" t="str">
        <f>_xlfn.XLOOKUP(LightSpec[[#This Row],[Room]],Rooms[Code],Rooms[Room])</f>
        <v>Bed 2</v>
      </c>
      <c r="C155" t="str">
        <f>_xlfn.XLOOKUP(LightSpec[[#This Row],[Room]],Rooms[Code],Rooms[Floor])</f>
        <v>First</v>
      </c>
      <c r="D155" t="s">
        <v>160</v>
      </c>
      <c r="E155" t="s">
        <v>237</v>
      </c>
      <c r="F155" t="s">
        <v>206</v>
      </c>
      <c r="I155" t="s">
        <v>239</v>
      </c>
      <c r="L155" t="s">
        <v>11</v>
      </c>
      <c r="M155" t="s">
        <v>248</v>
      </c>
      <c r="N155" t="s">
        <v>247</v>
      </c>
      <c r="R155" t="s">
        <v>250</v>
      </c>
      <c r="S155">
        <f>IFERROR(VALUE(RIGHT(LightSpec[[#This Row],[From]],1)), 0)</f>
        <v>0</v>
      </c>
      <c r="T15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6" spans="1:27" hidden="1" x14ac:dyDescent="0.25">
      <c r="A156" t="str">
        <f>LightSpec[[#This Row],[From]]&amp;"-"&amp;LightSpec[[#This Row],[Room]]&amp;"-"&amp;LightSpec[[#This Row],[DiagNo]]</f>
        <v>MCB-FB2-P3</v>
      </c>
      <c r="B156" t="str">
        <f>_xlfn.XLOOKUP(LightSpec[[#This Row],[Room]],Rooms[Code],Rooms[Room])</f>
        <v>Bed 2</v>
      </c>
      <c r="C156" t="str">
        <f>_xlfn.XLOOKUP(LightSpec[[#This Row],[Room]],Rooms[Code],Rooms[Floor])</f>
        <v>First</v>
      </c>
      <c r="D156" t="s">
        <v>160</v>
      </c>
      <c r="E156" t="s">
        <v>245</v>
      </c>
      <c r="F156" t="s">
        <v>206</v>
      </c>
      <c r="I156" t="s">
        <v>239</v>
      </c>
      <c r="L156" t="s">
        <v>11</v>
      </c>
      <c r="M156" t="s">
        <v>248</v>
      </c>
      <c r="N156" t="s">
        <v>247</v>
      </c>
      <c r="R156" t="s">
        <v>250</v>
      </c>
      <c r="S156">
        <f>IFERROR(VALUE(RIGHT(LightSpec[[#This Row],[From]],1)), 0)</f>
        <v>0</v>
      </c>
      <c r="T15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7" spans="1:27" hidden="1" x14ac:dyDescent="0.25">
      <c r="A157" t="str">
        <f>LightSpec[[#This Row],[From]]&amp;"-"&amp;LightSpec[[#This Row],[Room]]&amp;"-"&amp;LightSpec[[#This Row],[DiagNo]]</f>
        <v>MCB-FB2-P4</v>
      </c>
      <c r="B157" t="str">
        <f>_xlfn.XLOOKUP(LightSpec[[#This Row],[Room]],Rooms[Code],Rooms[Room])</f>
        <v>Bed 2</v>
      </c>
      <c r="C157" t="str">
        <f>_xlfn.XLOOKUP(LightSpec[[#This Row],[Room]],Rooms[Code],Rooms[Floor])</f>
        <v>First</v>
      </c>
      <c r="D157" t="s">
        <v>160</v>
      </c>
      <c r="E157" t="s">
        <v>294</v>
      </c>
      <c r="F157" t="s">
        <v>206</v>
      </c>
      <c r="I157" t="s">
        <v>239</v>
      </c>
      <c r="L157" t="s">
        <v>11</v>
      </c>
      <c r="M157" t="s">
        <v>248</v>
      </c>
      <c r="N157" t="s">
        <v>247</v>
      </c>
      <c r="R157" t="s">
        <v>250</v>
      </c>
      <c r="S157">
        <f>IFERROR(VALUE(RIGHT(LightSpec[[#This Row],[From]],1)), 0)</f>
        <v>0</v>
      </c>
      <c r="T15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8" spans="1:27" hidden="1" x14ac:dyDescent="0.25">
      <c r="A158" t="str">
        <f>LightSpec[[#This Row],[From]]&amp;"-"&amp;LightSpec[[#This Row],[Room]]&amp;"-"&amp;LightSpec[[#This Row],[DiagNo]]</f>
        <v>E16-FB2-D1</v>
      </c>
      <c r="B158" t="str">
        <f>_xlfn.XLOOKUP(LightSpec[[#This Row],[Room]],Rooms[Code],Rooms[Room])</f>
        <v>Bed 2</v>
      </c>
      <c r="C158" t="str">
        <f>_xlfn.XLOOKUP(LightSpec[[#This Row],[Room]],Rooms[Code],Rooms[Floor])</f>
        <v>First</v>
      </c>
      <c r="D158" t="s">
        <v>160</v>
      </c>
      <c r="E158" t="s">
        <v>266</v>
      </c>
      <c r="F158" t="s">
        <v>385</v>
      </c>
      <c r="I158" t="s">
        <v>268</v>
      </c>
      <c r="L158" t="s">
        <v>269</v>
      </c>
      <c r="M158" t="s">
        <v>270</v>
      </c>
      <c r="N158" t="s">
        <v>247</v>
      </c>
      <c r="R158" t="s">
        <v>271</v>
      </c>
      <c r="S158">
        <f>IFERROR(VALUE(RIGHT(LightSpec[[#This Row],[From]],1)), 0)</f>
        <v>6</v>
      </c>
      <c r="T15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59" spans="1:27" hidden="1" x14ac:dyDescent="0.25">
      <c r="A159" t="str">
        <f>LightSpec[[#This Row],[From]]&amp;"-"&amp;LightSpec[[#This Row],[Room]]&amp;"-"&amp;LightSpec[[#This Row],[DiagNo]]</f>
        <v>T1-FB2-TV</v>
      </c>
      <c r="B159" t="str">
        <f>_xlfn.XLOOKUP(LightSpec[[#This Row],[Room]],Rooms[Code],Rooms[Room])</f>
        <v>Bed 2</v>
      </c>
      <c r="C159" t="str">
        <f>_xlfn.XLOOKUP(LightSpec[[#This Row],[Room]],Rooms[Code],Rooms[Floor])</f>
        <v>First</v>
      </c>
      <c r="D159" t="s">
        <v>160</v>
      </c>
      <c r="E159" t="s">
        <v>240</v>
      </c>
      <c r="F159" t="s">
        <v>297</v>
      </c>
      <c r="I159" t="s">
        <v>298</v>
      </c>
      <c r="L159" t="s">
        <v>240</v>
      </c>
      <c r="M159" t="s">
        <v>240</v>
      </c>
      <c r="N159" t="s">
        <v>247</v>
      </c>
      <c r="R159" t="s">
        <v>299</v>
      </c>
      <c r="S159">
        <f>IFERROR(VALUE(RIGHT(LightSpec[[#This Row],[From]],1)), 0)</f>
        <v>1</v>
      </c>
      <c r="T15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5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5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5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5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5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5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5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60" spans="1:27" x14ac:dyDescent="0.25">
      <c r="A160" t="str">
        <f>LightSpec[[#This Row],[From]]&amp;"-"&amp;LightSpec[[#This Row],[Room]]&amp;"-"&amp;LightSpec[[#This Row],[DiagNo]]</f>
        <v>D21S1-FB2-S1</v>
      </c>
      <c r="B160" t="str">
        <f>_xlfn.XLOOKUP(LightSpec[[#This Row],[Room]],Rooms[Code],Rooms[Room])</f>
        <v>Bed 2</v>
      </c>
      <c r="C160" t="str">
        <f>_xlfn.XLOOKUP(LightSpec[[#This Row],[Room]],Rooms[Code],Rooms[Floor])</f>
        <v>First</v>
      </c>
      <c r="D160" t="s">
        <v>160</v>
      </c>
      <c r="E160" t="s">
        <v>192</v>
      </c>
      <c r="F160" t="s">
        <v>354</v>
      </c>
      <c r="G160">
        <v>2</v>
      </c>
      <c r="H160">
        <v>0</v>
      </c>
      <c r="I160" t="s">
        <v>231</v>
      </c>
      <c r="L160" t="s">
        <v>11</v>
      </c>
      <c r="M160" t="s">
        <v>233</v>
      </c>
      <c r="N160" t="s">
        <v>410</v>
      </c>
      <c r="S160">
        <f>IFERROR(VALUE(RIGHT(LightSpec[[#This Row],[From]],1)), 0)</f>
        <v>1</v>
      </c>
      <c r="T16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Bed 2 (Switch S1)</v>
      </c>
      <c r="U16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Bed 2 (Switch S1)</v>
      </c>
      <c r="V16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6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6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D21S1-FB2-S1 (Switch S1)</v>
      </c>
      <c r="Y16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D21S1-FB2-S1 (Switch S1)</v>
      </c>
      <c r="Z16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6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61" spans="1:27" x14ac:dyDescent="0.25">
      <c r="A161" t="str">
        <f>LightSpec[[#This Row],[From]]&amp;"-"&amp;LightSpec[[#This Row],[Room]]&amp;"-"&amp;LightSpec[[#This Row],[DiagNo]]</f>
        <v>D21S3-FB2-S2</v>
      </c>
      <c r="B161" t="str">
        <f>_xlfn.XLOOKUP(LightSpec[[#This Row],[Room]],Rooms[Code],Rooms[Room])</f>
        <v>Bed 2</v>
      </c>
      <c r="C161" t="str">
        <f>_xlfn.XLOOKUP(LightSpec[[#This Row],[Room]],Rooms[Code],Rooms[Floor])</f>
        <v>First</v>
      </c>
      <c r="D161" t="s">
        <v>160</v>
      </c>
      <c r="E161" t="s">
        <v>193</v>
      </c>
      <c r="F161" t="s">
        <v>355</v>
      </c>
      <c r="G161">
        <v>2</v>
      </c>
      <c r="H161">
        <v>2</v>
      </c>
      <c r="I161" t="s">
        <v>235</v>
      </c>
      <c r="L161" t="s">
        <v>11</v>
      </c>
      <c r="M161" t="s">
        <v>233</v>
      </c>
      <c r="N161" t="s">
        <v>410</v>
      </c>
      <c r="S161">
        <f>IFERROR(VALUE(RIGHT(LightSpec[[#This Row],[From]],1)), 0)</f>
        <v>3</v>
      </c>
      <c r="T16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6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6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Bed 2 (Switch S2)</v>
      </c>
      <c r="W16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Bed 2 (Switch S2)</v>
      </c>
      <c r="X16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6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6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D21S3-FB2-S2 (Switch S2)</v>
      </c>
      <c r="AA16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D21S3-FB2-S2 (Switch S2)</v>
      </c>
    </row>
    <row r="162" spans="1:27" x14ac:dyDescent="0.25">
      <c r="A162" t="str">
        <f>LightSpec[[#This Row],[From]]&amp;"-"&amp;LightSpec[[#This Row],[Room]]&amp;"-"&amp;LightSpec[[#This Row],[DiagNo]]</f>
        <v>D22O2-FE2-C1</v>
      </c>
      <c r="B162" t="str">
        <f>_xlfn.XLOOKUP(LightSpec[[#This Row],[Room]],Rooms[Code],Rooms[Room])</f>
        <v>Ensuite 2</v>
      </c>
      <c r="C162" t="str">
        <f>_xlfn.XLOOKUP(LightSpec[[#This Row],[Room]],Rooms[Code],Rooms[Floor])</f>
        <v>First</v>
      </c>
      <c r="D162" t="s">
        <v>169</v>
      </c>
      <c r="E162" t="s">
        <v>151</v>
      </c>
      <c r="F162" t="s">
        <v>357</v>
      </c>
      <c r="I162" t="s">
        <v>16</v>
      </c>
      <c r="J162">
        <v>9</v>
      </c>
      <c r="K162">
        <v>3</v>
      </c>
      <c r="L162" t="s">
        <v>11</v>
      </c>
      <c r="M162" t="s">
        <v>136</v>
      </c>
      <c r="N162" t="s">
        <v>140</v>
      </c>
      <c r="O162">
        <v>45</v>
      </c>
      <c r="R162" t="s">
        <v>62</v>
      </c>
      <c r="S162">
        <f>IFERROR(VALUE(RIGHT(LightSpec[[#This Row],[From]],1)), 0)</f>
        <v>2</v>
      </c>
      <c r="T16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6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6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6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6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6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6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6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63" spans="1:27" x14ac:dyDescent="0.25">
      <c r="A163" t="str">
        <f>LightSpec[[#This Row],[From]]&amp;"-"&amp;LightSpec[[#This Row],[Room]]&amp;"-"&amp;LightSpec[[#This Row],[DiagNo]]</f>
        <v>D22O2-FE2-C1</v>
      </c>
      <c r="B163" t="str">
        <f>_xlfn.XLOOKUP(LightSpec[[#This Row],[Room]],Rooms[Code],Rooms[Room])</f>
        <v>Ensuite 2</v>
      </c>
      <c r="C163" t="str">
        <f>_xlfn.XLOOKUP(LightSpec[[#This Row],[Room]],Rooms[Code],Rooms[Floor])</f>
        <v>First</v>
      </c>
      <c r="D163" t="s">
        <v>169</v>
      </c>
      <c r="E163" t="s">
        <v>151</v>
      </c>
      <c r="F163" t="s">
        <v>357</v>
      </c>
      <c r="I163" t="s">
        <v>5</v>
      </c>
      <c r="J163">
        <v>9</v>
      </c>
      <c r="K163">
        <v>2</v>
      </c>
      <c r="L163" t="s">
        <v>11</v>
      </c>
      <c r="M163" t="s">
        <v>136</v>
      </c>
      <c r="N163" t="s">
        <v>140</v>
      </c>
      <c r="S163">
        <f>IFERROR(VALUE(RIGHT(LightSpec[[#This Row],[From]],1)), 0)</f>
        <v>2</v>
      </c>
      <c r="T16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6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6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6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6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6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6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6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64" spans="1:27" x14ac:dyDescent="0.25">
      <c r="A164" t="str">
        <f>LightSpec[[#This Row],[From]]&amp;"-"&amp;LightSpec[[#This Row],[Room]]&amp;"-"&amp;LightSpec[[#This Row],[DiagNo]]</f>
        <v>D23O1-FE2-C2</v>
      </c>
      <c r="B164" t="str">
        <f>_xlfn.XLOOKUP(LightSpec[[#This Row],[Room]],Rooms[Code],Rooms[Room])</f>
        <v>Ensuite 2</v>
      </c>
      <c r="C164" t="str">
        <f>_xlfn.XLOOKUP(LightSpec[[#This Row],[Room]],Rooms[Code],Rooms[Floor])</f>
        <v>First</v>
      </c>
      <c r="D164" t="s">
        <v>169</v>
      </c>
      <c r="E164" t="s">
        <v>150</v>
      </c>
      <c r="F164" t="s">
        <v>358</v>
      </c>
      <c r="I164" t="s">
        <v>7</v>
      </c>
      <c r="J164" t="s">
        <v>14</v>
      </c>
      <c r="K164">
        <v>3</v>
      </c>
      <c r="L164" t="s">
        <v>13</v>
      </c>
      <c r="M164" t="s">
        <v>136</v>
      </c>
      <c r="N164" t="s">
        <v>140</v>
      </c>
      <c r="O164" t="s">
        <v>3</v>
      </c>
      <c r="P164" t="s">
        <v>113</v>
      </c>
      <c r="R164" t="s">
        <v>63</v>
      </c>
      <c r="S164">
        <f>IFERROR(VALUE(RIGHT(LightSpec[[#This Row],[From]],1)), 0)</f>
        <v>1</v>
      </c>
      <c r="T16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6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6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6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6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6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6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6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65" spans="1:27" x14ac:dyDescent="0.25">
      <c r="A165" t="str">
        <f>LightSpec[[#This Row],[From]]&amp;"-"&amp;LightSpec[[#This Row],[Room]]&amp;"-"&amp;LightSpec[[#This Row],[DiagNo]]</f>
        <v>D23O2-FE2-C3</v>
      </c>
      <c r="B165" t="str">
        <f>_xlfn.XLOOKUP(LightSpec[[#This Row],[Room]],Rooms[Code],Rooms[Room])</f>
        <v>Ensuite 2</v>
      </c>
      <c r="C165" t="str">
        <f>_xlfn.XLOOKUP(LightSpec[[#This Row],[Room]],Rooms[Code],Rooms[Floor])</f>
        <v>First</v>
      </c>
      <c r="D165" t="s">
        <v>169</v>
      </c>
      <c r="E165" t="s">
        <v>149</v>
      </c>
      <c r="F165" t="s">
        <v>359</v>
      </c>
      <c r="I165" t="s">
        <v>17</v>
      </c>
      <c r="J165" t="s">
        <v>3</v>
      </c>
      <c r="K165">
        <v>2</v>
      </c>
      <c r="L165" t="s">
        <v>11</v>
      </c>
      <c r="M165" t="s">
        <v>136</v>
      </c>
      <c r="N165" t="s">
        <v>140</v>
      </c>
      <c r="O165" t="s">
        <v>3</v>
      </c>
      <c r="R165" t="s">
        <v>64</v>
      </c>
      <c r="S165">
        <f>IFERROR(VALUE(RIGHT(LightSpec[[#This Row],[From]],1)), 0)</f>
        <v>2</v>
      </c>
      <c r="T16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6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6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6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6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6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6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6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66" spans="1:27" x14ac:dyDescent="0.25">
      <c r="A166" s="6" t="str">
        <f>LightSpec[[#This Row],[From]]&amp;"-"&amp;LightSpec[[#This Row],[Room]]&amp;"-"&amp;LightSpec[[#This Row],[DiagNo]]</f>
        <v>D24O1-FE2-C4</v>
      </c>
      <c r="B166" s="6" t="str">
        <f>_xlfn.XLOOKUP(LightSpec[[#This Row],[Room]],Rooms[Code],Rooms[Room])</f>
        <v>Ensuite 2</v>
      </c>
      <c r="C166" s="6" t="str">
        <f>_xlfn.XLOOKUP(LightSpec[[#This Row],[Room]],Rooms[Code],Rooms[Floor])</f>
        <v>First</v>
      </c>
      <c r="D166" s="6" t="s">
        <v>169</v>
      </c>
      <c r="E166" s="6" t="s">
        <v>148</v>
      </c>
      <c r="F166" s="6" t="s">
        <v>361</v>
      </c>
      <c r="G166" s="6"/>
      <c r="H166" s="6"/>
      <c r="I166" s="6" t="s">
        <v>360</v>
      </c>
      <c r="J166">
        <v>3</v>
      </c>
      <c r="K166">
        <v>2</v>
      </c>
      <c r="L166" t="s">
        <v>9</v>
      </c>
      <c r="M166" t="s">
        <v>115</v>
      </c>
      <c r="N166" t="s">
        <v>139</v>
      </c>
      <c r="O166">
        <v>6</v>
      </c>
      <c r="P166" t="s">
        <v>113</v>
      </c>
      <c r="R166" t="s">
        <v>65</v>
      </c>
      <c r="S166">
        <f>IFERROR(VALUE(RIGHT(LightSpec[[#This Row],[From]],1)), 0)</f>
        <v>1</v>
      </c>
      <c r="T16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6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6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6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6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6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6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6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67" spans="1:27" hidden="1" x14ac:dyDescent="0.25">
      <c r="A167" t="str">
        <f>LightSpec[[#This Row],[From]]&amp;"-"&amp;LightSpec[[#This Row],[Room]]&amp;"-"&amp;LightSpec[[#This Row],[DiagNo]]</f>
        <v>P2S2-FE2-R1</v>
      </c>
      <c r="B167" t="str">
        <f>_xlfn.XLOOKUP(LightSpec[[#This Row],[Room]],Rooms[Code],Rooms[Room])</f>
        <v>Ensuite 2</v>
      </c>
      <c r="C167" t="str">
        <f>_xlfn.XLOOKUP(LightSpec[[#This Row],[Room]],Rooms[Code],Rooms[Floor])</f>
        <v>First</v>
      </c>
      <c r="D167" t="s">
        <v>169</v>
      </c>
      <c r="E167" t="s">
        <v>251</v>
      </c>
      <c r="F167" t="s">
        <v>363</v>
      </c>
      <c r="G167">
        <v>1</v>
      </c>
      <c r="I167" t="s">
        <v>308</v>
      </c>
      <c r="L167" t="s">
        <v>11</v>
      </c>
      <c r="M167" t="s">
        <v>92</v>
      </c>
      <c r="N167" t="s">
        <v>92</v>
      </c>
      <c r="R167" t="s">
        <v>254</v>
      </c>
      <c r="S167">
        <f>IFERROR(VALUE(RIGHT(LightSpec[[#This Row],[From]],1)), 0)</f>
        <v>2</v>
      </c>
      <c r="T16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6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Ensuite 2 (PIR R1)</v>
      </c>
      <c r="V16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6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6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6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P2S2-FE2-R1 (PIR R1)</v>
      </c>
      <c r="Z16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6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68" spans="1:27" hidden="1" x14ac:dyDescent="0.25">
      <c r="A168" t="str">
        <f>LightSpec[[#This Row],[From]]&amp;"-"&amp;LightSpec[[#This Row],[Room]]&amp;"-"&amp;LightSpec[[#This Row],[DiagNo]]</f>
        <v>MCB-FE2-P1</v>
      </c>
      <c r="B168" t="str">
        <f>_xlfn.XLOOKUP(LightSpec[[#This Row],[Room]],Rooms[Code],Rooms[Room])</f>
        <v>Ensuite 2</v>
      </c>
      <c r="C168" t="str">
        <f>_xlfn.XLOOKUP(LightSpec[[#This Row],[Room]],Rooms[Code],Rooms[Floor])</f>
        <v>First</v>
      </c>
      <c r="D168" t="s">
        <v>169</v>
      </c>
      <c r="E168" t="s">
        <v>238</v>
      </c>
      <c r="F168" t="s">
        <v>206</v>
      </c>
      <c r="I168" t="s">
        <v>364</v>
      </c>
      <c r="L168" t="s">
        <v>11</v>
      </c>
      <c r="M168" t="s">
        <v>326</v>
      </c>
      <c r="N168" t="s">
        <v>247</v>
      </c>
      <c r="S168">
        <f>IFERROR(VALUE(RIGHT(LightSpec[[#This Row],[From]],1)), 0)</f>
        <v>0</v>
      </c>
      <c r="T16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6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6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6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6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6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6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6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69" spans="1:27" x14ac:dyDescent="0.25">
      <c r="A169" t="str">
        <f>LightSpec[[#This Row],[From]]&amp;"-"&amp;LightSpec[[#This Row],[Room]]&amp;"-"&amp;LightSpec[[#This Row],[DiagNo]]</f>
        <v>D24O2-FB3-C1</v>
      </c>
      <c r="B169" t="str">
        <f>_xlfn.XLOOKUP(LightSpec[[#This Row],[Room]],Rooms[Code],Rooms[Room])</f>
        <v>Bed 3</v>
      </c>
      <c r="C169" t="str">
        <f>_xlfn.XLOOKUP(LightSpec[[#This Row],[Room]],Rooms[Code],Rooms[Floor])</f>
        <v>First</v>
      </c>
      <c r="D169" t="s">
        <v>168</v>
      </c>
      <c r="E169" t="s">
        <v>151</v>
      </c>
      <c r="F169" t="s">
        <v>365</v>
      </c>
      <c r="I169" t="s">
        <v>4</v>
      </c>
      <c r="J169">
        <v>60</v>
      </c>
      <c r="K169">
        <v>1</v>
      </c>
      <c r="L169" t="s">
        <v>11</v>
      </c>
      <c r="M169" t="s">
        <v>136</v>
      </c>
      <c r="N169" t="s">
        <v>140</v>
      </c>
      <c r="O169">
        <v>60</v>
      </c>
      <c r="R169" t="s">
        <v>66</v>
      </c>
      <c r="S169">
        <f>IFERROR(VALUE(RIGHT(LightSpec[[#This Row],[From]],1)), 0)</f>
        <v>2</v>
      </c>
      <c r="T16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6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6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6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6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6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6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6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0" spans="1:27" hidden="1" x14ac:dyDescent="0.25">
      <c r="A170" s="3" t="str">
        <f>LightSpec[[#This Row],[From]]&amp;"-"&amp;LightSpec[[#This Row],[Room]]&amp;"-"&amp;LightSpec[[#This Row],[DiagNo]]</f>
        <v>NA-FB3-C2</v>
      </c>
      <c r="B170" s="3" t="str">
        <f>_xlfn.XLOOKUP(LightSpec[[#This Row],[Room]],Rooms[Code],Rooms[Room])</f>
        <v>Bed 3</v>
      </c>
      <c r="C170" s="3" t="str">
        <f>_xlfn.XLOOKUP(LightSpec[[#This Row],[Room]],Rooms[Code],Rooms[Floor])</f>
        <v>First</v>
      </c>
      <c r="D170" s="3" t="s">
        <v>168</v>
      </c>
      <c r="E170" s="3" t="s">
        <v>150</v>
      </c>
      <c r="F170" s="3" t="s">
        <v>247</v>
      </c>
      <c r="G170" s="3"/>
      <c r="H170" s="3"/>
      <c r="I170" s="3" t="s">
        <v>293</v>
      </c>
      <c r="J170" s="3"/>
      <c r="K170" s="3"/>
      <c r="L170" s="3"/>
      <c r="M170" s="3" t="s">
        <v>247</v>
      </c>
      <c r="N170" s="3" t="s">
        <v>247</v>
      </c>
      <c r="O170" s="3" t="s">
        <v>247</v>
      </c>
      <c r="P170" s="3"/>
      <c r="Q170" s="3"/>
      <c r="R170" s="3" t="s">
        <v>67</v>
      </c>
      <c r="S170">
        <f>IFERROR(VALUE(RIGHT(LightSpec[[#This Row],[From]],1)), 0)</f>
        <v>0</v>
      </c>
      <c r="T17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1" spans="1:27" x14ac:dyDescent="0.25">
      <c r="A171" s="6" t="str">
        <f>LightSpec[[#This Row],[From]]&amp;"-"&amp;LightSpec[[#This Row],[Room]]&amp;"-"&amp;LightSpec[[#This Row],[DiagNo]]</f>
        <v>D25O1-FB3-C3</v>
      </c>
      <c r="B171" s="6" t="str">
        <f>_xlfn.XLOOKUP(LightSpec[[#This Row],[Room]],Rooms[Code],Rooms[Room])</f>
        <v>Bed 3</v>
      </c>
      <c r="C171" s="6" t="str">
        <f>_xlfn.XLOOKUP(LightSpec[[#This Row],[Room]],Rooms[Code],Rooms[Floor])</f>
        <v>First</v>
      </c>
      <c r="D171" s="6" t="s">
        <v>168</v>
      </c>
      <c r="E171" s="6" t="s">
        <v>149</v>
      </c>
      <c r="F171" s="6" t="s">
        <v>366</v>
      </c>
      <c r="G171" s="6"/>
      <c r="H171" s="6"/>
      <c r="I171" s="6" t="s">
        <v>653</v>
      </c>
      <c r="J171" t="s">
        <v>14</v>
      </c>
      <c r="K171">
        <v>2</v>
      </c>
      <c r="L171" t="s">
        <v>13</v>
      </c>
      <c r="M171" t="s">
        <v>136</v>
      </c>
      <c r="N171" t="s">
        <v>140</v>
      </c>
      <c r="O171" t="s">
        <v>3</v>
      </c>
      <c r="P171" t="s">
        <v>113</v>
      </c>
      <c r="R171" t="s">
        <v>84</v>
      </c>
      <c r="S171">
        <f>IFERROR(VALUE(RIGHT(LightSpec[[#This Row],[From]],1)), 0)</f>
        <v>1</v>
      </c>
      <c r="T17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2" spans="1:27" x14ac:dyDescent="0.25">
      <c r="A172" t="str">
        <f>LightSpec[[#This Row],[From]]&amp;"-"&amp;LightSpec[[#This Row],[Room]]&amp;"-"&amp;LightSpec[[#This Row],[DiagNo]]</f>
        <v>D25O2-FB3-C4</v>
      </c>
      <c r="B172" t="str">
        <f>_xlfn.XLOOKUP(LightSpec[[#This Row],[Room]],Rooms[Code],Rooms[Room])</f>
        <v>Bed 3</v>
      </c>
      <c r="C172" t="str">
        <f>_xlfn.XLOOKUP(LightSpec[[#This Row],[Room]],Rooms[Code],Rooms[Floor])</f>
        <v>First</v>
      </c>
      <c r="D172" t="s">
        <v>168</v>
      </c>
      <c r="E172" t="s">
        <v>148</v>
      </c>
      <c r="F172" t="s">
        <v>367</v>
      </c>
      <c r="I172" t="s">
        <v>5</v>
      </c>
      <c r="J172">
        <v>9</v>
      </c>
      <c r="K172">
        <v>2</v>
      </c>
      <c r="L172" t="s">
        <v>11</v>
      </c>
      <c r="M172" t="s">
        <v>136</v>
      </c>
      <c r="N172" t="s">
        <v>140</v>
      </c>
      <c r="O172">
        <v>18</v>
      </c>
      <c r="R172" t="s">
        <v>85</v>
      </c>
      <c r="S172">
        <f>IFERROR(VALUE(RIGHT(LightSpec[[#This Row],[From]],1)), 0)</f>
        <v>2</v>
      </c>
      <c r="T17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3" spans="1:27" hidden="1" x14ac:dyDescent="0.25">
      <c r="A173" t="str">
        <f>LightSpec[[#This Row],[From]]&amp;"-"&amp;LightSpec[[#This Row],[Room]]&amp;"-"&amp;LightSpec[[#This Row],[DiagNo]]</f>
        <v>MCB-FB3-P1</v>
      </c>
      <c r="B173" t="str">
        <f>_xlfn.XLOOKUP(LightSpec[[#This Row],[Room]],Rooms[Code],Rooms[Room])</f>
        <v>Bed 3</v>
      </c>
      <c r="C173" t="str">
        <f>_xlfn.XLOOKUP(LightSpec[[#This Row],[Room]],Rooms[Code],Rooms[Floor])</f>
        <v>First</v>
      </c>
      <c r="D173" t="s">
        <v>168</v>
      </c>
      <c r="E173" t="s">
        <v>238</v>
      </c>
      <c r="F173" t="s">
        <v>206</v>
      </c>
      <c r="I173" t="s">
        <v>239</v>
      </c>
      <c r="L173" t="s">
        <v>11</v>
      </c>
      <c r="M173" t="s">
        <v>248</v>
      </c>
      <c r="N173" t="s">
        <v>247</v>
      </c>
      <c r="R173" t="s">
        <v>250</v>
      </c>
      <c r="S173">
        <f>IFERROR(VALUE(RIGHT(LightSpec[[#This Row],[From]],1)), 0)</f>
        <v>0</v>
      </c>
      <c r="T17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4" spans="1:27" hidden="1" x14ac:dyDescent="0.25">
      <c r="A174" t="str">
        <f>LightSpec[[#This Row],[From]]&amp;"-"&amp;LightSpec[[#This Row],[Room]]&amp;"-"&amp;LightSpec[[#This Row],[DiagNo]]</f>
        <v>MCB-FB3-P2</v>
      </c>
      <c r="B174" t="str">
        <f>_xlfn.XLOOKUP(LightSpec[[#This Row],[Room]],Rooms[Code],Rooms[Room])</f>
        <v>Bed 3</v>
      </c>
      <c r="C174" t="str">
        <f>_xlfn.XLOOKUP(LightSpec[[#This Row],[Room]],Rooms[Code],Rooms[Floor])</f>
        <v>First</v>
      </c>
      <c r="D174" t="s">
        <v>168</v>
      </c>
      <c r="E174" t="s">
        <v>237</v>
      </c>
      <c r="F174" t="s">
        <v>206</v>
      </c>
      <c r="I174" t="s">
        <v>239</v>
      </c>
      <c r="L174" t="s">
        <v>11</v>
      </c>
      <c r="M174" t="s">
        <v>248</v>
      </c>
      <c r="N174" t="s">
        <v>247</v>
      </c>
      <c r="R174" t="s">
        <v>250</v>
      </c>
      <c r="S174">
        <f>IFERROR(VALUE(RIGHT(LightSpec[[#This Row],[From]],1)), 0)</f>
        <v>0</v>
      </c>
      <c r="T17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5" spans="1:27" hidden="1" x14ac:dyDescent="0.25">
      <c r="A175" t="str">
        <f>LightSpec[[#This Row],[From]]&amp;"-"&amp;LightSpec[[#This Row],[Room]]&amp;"-"&amp;LightSpec[[#This Row],[DiagNo]]</f>
        <v>MCB-FB3-P3</v>
      </c>
      <c r="B175" t="str">
        <f>_xlfn.XLOOKUP(LightSpec[[#This Row],[Room]],Rooms[Code],Rooms[Room])</f>
        <v>Bed 3</v>
      </c>
      <c r="C175" t="str">
        <f>_xlfn.XLOOKUP(LightSpec[[#This Row],[Room]],Rooms[Code],Rooms[Floor])</f>
        <v>First</v>
      </c>
      <c r="D175" t="s">
        <v>168</v>
      </c>
      <c r="E175" t="s">
        <v>245</v>
      </c>
      <c r="F175" t="s">
        <v>206</v>
      </c>
      <c r="I175" t="s">
        <v>239</v>
      </c>
      <c r="L175" t="s">
        <v>11</v>
      </c>
      <c r="M175" t="s">
        <v>248</v>
      </c>
      <c r="N175" t="s">
        <v>247</v>
      </c>
      <c r="R175" t="s">
        <v>250</v>
      </c>
      <c r="S175">
        <f>IFERROR(VALUE(RIGHT(LightSpec[[#This Row],[From]],1)), 0)</f>
        <v>0</v>
      </c>
      <c r="T17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6" spans="1:27" hidden="1" x14ac:dyDescent="0.25">
      <c r="A176" t="str">
        <f>LightSpec[[#This Row],[From]]&amp;"-"&amp;LightSpec[[#This Row],[Room]]&amp;"-"&amp;LightSpec[[#This Row],[DiagNo]]</f>
        <v>MCB-FB3-P4</v>
      </c>
      <c r="B176" t="str">
        <f>_xlfn.XLOOKUP(LightSpec[[#This Row],[Room]],Rooms[Code],Rooms[Room])</f>
        <v>Bed 3</v>
      </c>
      <c r="C176" t="str">
        <f>_xlfn.XLOOKUP(LightSpec[[#This Row],[Room]],Rooms[Code],Rooms[Floor])</f>
        <v>First</v>
      </c>
      <c r="D176" t="s">
        <v>168</v>
      </c>
      <c r="E176" t="s">
        <v>294</v>
      </c>
      <c r="F176" t="s">
        <v>206</v>
      </c>
      <c r="I176" t="s">
        <v>239</v>
      </c>
      <c r="L176" t="s">
        <v>11</v>
      </c>
      <c r="M176" t="s">
        <v>248</v>
      </c>
      <c r="N176" t="s">
        <v>247</v>
      </c>
      <c r="R176" t="s">
        <v>250</v>
      </c>
      <c r="S176">
        <f>IFERROR(VALUE(RIGHT(LightSpec[[#This Row],[From]],1)), 0)</f>
        <v>0</v>
      </c>
      <c r="T17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7" spans="1:27" hidden="1" x14ac:dyDescent="0.25">
      <c r="A177" t="str">
        <f>LightSpec[[#This Row],[From]]&amp;"-"&amp;LightSpec[[#This Row],[Room]]&amp;"-"&amp;LightSpec[[#This Row],[DiagNo]]</f>
        <v>MCB-FB3-P5</v>
      </c>
      <c r="B177" t="str">
        <f>_xlfn.XLOOKUP(LightSpec[[#This Row],[Room]],Rooms[Code],Rooms[Room])</f>
        <v>Bed 3</v>
      </c>
      <c r="C177" t="str">
        <f>_xlfn.XLOOKUP(LightSpec[[#This Row],[Room]],Rooms[Code],Rooms[Floor])</f>
        <v>First</v>
      </c>
      <c r="D177" t="s">
        <v>168</v>
      </c>
      <c r="E177" t="s">
        <v>295</v>
      </c>
      <c r="F177" t="s">
        <v>206</v>
      </c>
      <c r="I177" t="s">
        <v>239</v>
      </c>
      <c r="L177" t="s">
        <v>11</v>
      </c>
      <c r="M177" t="s">
        <v>248</v>
      </c>
      <c r="N177" t="s">
        <v>247</v>
      </c>
      <c r="R177" t="s">
        <v>250</v>
      </c>
      <c r="S177">
        <f>IFERROR(VALUE(RIGHT(LightSpec[[#This Row],[From]],1)), 0)</f>
        <v>0</v>
      </c>
      <c r="T17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8" spans="1:27" hidden="1" x14ac:dyDescent="0.25">
      <c r="A178" t="str">
        <f>LightSpec[[#This Row],[From]]&amp;"-"&amp;LightSpec[[#This Row],[Room]]&amp;"-"&amp;LightSpec[[#This Row],[DiagNo]]</f>
        <v>E17-FB3-D1</v>
      </c>
      <c r="B178" t="str">
        <f>_xlfn.XLOOKUP(LightSpec[[#This Row],[Room]],Rooms[Code],Rooms[Room])</f>
        <v>Bed 3</v>
      </c>
      <c r="C178" t="str">
        <f>_xlfn.XLOOKUP(LightSpec[[#This Row],[Room]],Rooms[Code],Rooms[Floor])</f>
        <v>First</v>
      </c>
      <c r="D178" t="s">
        <v>168</v>
      </c>
      <c r="E178" t="s">
        <v>266</v>
      </c>
      <c r="F178" t="s">
        <v>386</v>
      </c>
      <c r="I178" t="s">
        <v>268</v>
      </c>
      <c r="L178" t="s">
        <v>269</v>
      </c>
      <c r="M178" t="s">
        <v>270</v>
      </c>
      <c r="N178" t="s">
        <v>247</v>
      </c>
      <c r="R178" t="s">
        <v>271</v>
      </c>
      <c r="S178">
        <f>IFERROR(VALUE(RIGHT(LightSpec[[#This Row],[From]],1)), 0)</f>
        <v>7</v>
      </c>
      <c r="T17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79" spans="1:27" hidden="1" x14ac:dyDescent="0.25">
      <c r="A179" t="str">
        <f>LightSpec[[#This Row],[From]]&amp;"-"&amp;LightSpec[[#This Row],[Room]]&amp;"-"&amp;LightSpec[[#This Row],[DiagNo]]</f>
        <v>T1-FB3-TV</v>
      </c>
      <c r="B179" t="str">
        <f>_xlfn.XLOOKUP(LightSpec[[#This Row],[Room]],Rooms[Code],Rooms[Room])</f>
        <v>Bed 3</v>
      </c>
      <c r="C179" t="str">
        <f>_xlfn.XLOOKUP(LightSpec[[#This Row],[Room]],Rooms[Code],Rooms[Floor])</f>
        <v>First</v>
      </c>
      <c r="D179" t="s">
        <v>168</v>
      </c>
      <c r="E179" t="s">
        <v>240</v>
      </c>
      <c r="F179" t="s">
        <v>297</v>
      </c>
      <c r="I179" t="s">
        <v>298</v>
      </c>
      <c r="L179" t="s">
        <v>240</v>
      </c>
      <c r="M179" t="s">
        <v>240</v>
      </c>
      <c r="N179" t="s">
        <v>247</v>
      </c>
      <c r="R179" t="s">
        <v>299</v>
      </c>
      <c r="S179">
        <f>IFERROR(VALUE(RIGHT(LightSpec[[#This Row],[From]],1)), 0)</f>
        <v>1</v>
      </c>
      <c r="T17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7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7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7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7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7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7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7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80" spans="1:27" x14ac:dyDescent="0.25">
      <c r="A180" t="str">
        <f>LightSpec[[#This Row],[From]]&amp;"-"&amp;LightSpec[[#This Row],[Room]]&amp;"-"&amp;LightSpec[[#This Row],[DiagNo]]</f>
        <v>D25S1-FB3-S1</v>
      </c>
      <c r="B180" t="str">
        <f>_xlfn.XLOOKUP(LightSpec[[#This Row],[Room]],Rooms[Code],Rooms[Room])</f>
        <v>Bed 3</v>
      </c>
      <c r="C180" t="str">
        <f>_xlfn.XLOOKUP(LightSpec[[#This Row],[Room]],Rooms[Code],Rooms[Floor])</f>
        <v>First</v>
      </c>
      <c r="D180" t="s">
        <v>168</v>
      </c>
      <c r="E180" t="s">
        <v>192</v>
      </c>
      <c r="F180" t="s">
        <v>368</v>
      </c>
      <c r="G180">
        <v>4</v>
      </c>
      <c r="H180">
        <v>0</v>
      </c>
      <c r="I180" t="s">
        <v>229</v>
      </c>
      <c r="L180" t="s">
        <v>11</v>
      </c>
      <c r="M180" t="s">
        <v>279</v>
      </c>
      <c r="N180" t="s">
        <v>409</v>
      </c>
      <c r="S180">
        <f>IFERROR(VALUE(RIGHT(LightSpec[[#This Row],[From]],1)), 0)</f>
        <v>1</v>
      </c>
      <c r="T18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Bed 3 (Switch S1)</v>
      </c>
      <c r="U18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Bed 3 (Switch S1)</v>
      </c>
      <c r="V18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Bed 3 (Switch S1)</v>
      </c>
      <c r="W18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Bed 3 (Switch S1)</v>
      </c>
      <c r="X18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D25S1-FB3-S1 (Switch S1)</v>
      </c>
      <c r="Y18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D25S1-FB3-S1 (Switch S1)</v>
      </c>
      <c r="Z18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D25S1-FB3-S1 (Switch S1)</v>
      </c>
      <c r="AA18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D25S1-FB3-S1 (Switch S1)</v>
      </c>
    </row>
    <row r="181" spans="1:27" x14ac:dyDescent="0.25">
      <c r="A181" t="str">
        <f>LightSpec[[#This Row],[From]]&amp;"-"&amp;LightSpec[[#This Row],[Room]]&amp;"-"&amp;LightSpec[[#This Row],[DiagNo]]</f>
        <v>D26O1-FE3-C1</v>
      </c>
      <c r="B181" t="str">
        <f>_xlfn.XLOOKUP(LightSpec[[#This Row],[Room]],Rooms[Code],Rooms[Room])</f>
        <v>Ensuite 3</v>
      </c>
      <c r="C181" t="str">
        <f>_xlfn.XLOOKUP(LightSpec[[#This Row],[Room]],Rooms[Code],Rooms[Floor])</f>
        <v>First</v>
      </c>
      <c r="D181" t="s">
        <v>170</v>
      </c>
      <c r="E181" t="s">
        <v>151</v>
      </c>
      <c r="F181" t="s">
        <v>369</v>
      </c>
      <c r="I181" t="s">
        <v>5</v>
      </c>
      <c r="J181">
        <v>9</v>
      </c>
      <c r="K181">
        <v>2</v>
      </c>
      <c r="L181" t="s">
        <v>11</v>
      </c>
      <c r="M181" t="s">
        <v>136</v>
      </c>
      <c r="N181" t="s">
        <v>140</v>
      </c>
      <c r="O181">
        <v>36</v>
      </c>
      <c r="R181" t="s">
        <v>68</v>
      </c>
      <c r="S181">
        <f>IFERROR(VALUE(RIGHT(LightSpec[[#This Row],[From]],1)), 0)</f>
        <v>1</v>
      </c>
      <c r="T18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8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8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8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8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8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8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8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82" spans="1:27" x14ac:dyDescent="0.25">
      <c r="A182" t="str">
        <f>LightSpec[[#This Row],[From]]&amp;"-"&amp;LightSpec[[#This Row],[Room]]&amp;"-"&amp;LightSpec[[#This Row],[DiagNo]]</f>
        <v>D26O1-FE3-C1</v>
      </c>
      <c r="B182" t="str">
        <f>_xlfn.XLOOKUP(LightSpec[[#This Row],[Room]],Rooms[Code],Rooms[Room])</f>
        <v>Ensuite 3</v>
      </c>
      <c r="C182" t="str">
        <f>_xlfn.XLOOKUP(LightSpec[[#This Row],[Room]],Rooms[Code],Rooms[Floor])</f>
        <v>First</v>
      </c>
      <c r="D182" t="s">
        <v>170</v>
      </c>
      <c r="E182" t="s">
        <v>151</v>
      </c>
      <c r="F182" t="s">
        <v>369</v>
      </c>
      <c r="I182" t="s">
        <v>16</v>
      </c>
      <c r="J182">
        <v>9</v>
      </c>
      <c r="K182">
        <v>2</v>
      </c>
      <c r="L182" t="s">
        <v>11</v>
      </c>
      <c r="M182" t="s">
        <v>136</v>
      </c>
      <c r="N182" t="s">
        <v>140</v>
      </c>
      <c r="S182">
        <f>IFERROR(VALUE(RIGHT(LightSpec[[#This Row],[From]],1)), 0)</f>
        <v>1</v>
      </c>
      <c r="T18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8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8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8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8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8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8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8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83" spans="1:27" hidden="1" x14ac:dyDescent="0.25">
      <c r="A183" s="6" t="str">
        <f>LightSpec[[#This Row],[From]]&amp;"-"&amp;LightSpec[[#This Row],[Room]]&amp;"-"&amp;LightSpec[[#This Row],[DiagNo]]</f>
        <v>P5O1-FE3-C2</v>
      </c>
      <c r="B183" s="6" t="str">
        <f>_xlfn.XLOOKUP(LightSpec[[#This Row],[Room]],Rooms[Code],Rooms[Room])</f>
        <v>Ensuite 3</v>
      </c>
      <c r="C183" s="6" t="str">
        <f>_xlfn.XLOOKUP(LightSpec[[#This Row],[Room]],Rooms[Code],Rooms[Floor])</f>
        <v>First</v>
      </c>
      <c r="D183" s="6" t="s">
        <v>170</v>
      </c>
      <c r="E183" s="6" t="s">
        <v>150</v>
      </c>
      <c r="F183" s="6" t="s">
        <v>371</v>
      </c>
      <c r="G183" s="6"/>
      <c r="H183" s="6"/>
      <c r="I183" s="6" t="s">
        <v>650</v>
      </c>
      <c r="J183">
        <v>3</v>
      </c>
      <c r="K183">
        <v>1</v>
      </c>
      <c r="L183" t="s">
        <v>9</v>
      </c>
      <c r="M183" t="s">
        <v>115</v>
      </c>
      <c r="N183" t="s">
        <v>139</v>
      </c>
      <c r="O183">
        <v>3</v>
      </c>
      <c r="P183" t="s">
        <v>113</v>
      </c>
      <c r="R183" t="s">
        <v>69</v>
      </c>
      <c r="S183">
        <f>IFERROR(VALUE(RIGHT(LightSpec[[#This Row],[From]],1)), 0)</f>
        <v>1</v>
      </c>
      <c r="T18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8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8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8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8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8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8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8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84" spans="1:27" hidden="1" x14ac:dyDescent="0.25">
      <c r="A184" s="6" t="str">
        <f>LightSpec[[#This Row],[From]]&amp;"-"&amp;LightSpec[[#This Row],[Room]]&amp;"-"&amp;LightSpec[[#This Row],[DiagNo]]</f>
        <v>P5O2-FE3-C3</v>
      </c>
      <c r="B184" s="6" t="str">
        <f>_xlfn.XLOOKUP(LightSpec[[#This Row],[Room]],Rooms[Code],Rooms[Room])</f>
        <v>Ensuite 3</v>
      </c>
      <c r="C184" s="6" t="str">
        <f>_xlfn.XLOOKUP(LightSpec[[#This Row],[Room]],Rooms[Code],Rooms[Floor])</f>
        <v>First</v>
      </c>
      <c r="D184" s="6" t="s">
        <v>170</v>
      </c>
      <c r="E184" s="6" t="s">
        <v>149</v>
      </c>
      <c r="F184" s="6" t="s">
        <v>372</v>
      </c>
      <c r="G184" s="6"/>
      <c r="H184" s="6"/>
      <c r="I184" s="6" t="s">
        <v>649</v>
      </c>
      <c r="J184" t="s">
        <v>14</v>
      </c>
      <c r="K184">
        <v>1</v>
      </c>
      <c r="L184" t="s">
        <v>13</v>
      </c>
      <c r="M184" t="s">
        <v>115</v>
      </c>
      <c r="N184" t="s">
        <v>139</v>
      </c>
      <c r="O184" t="s">
        <v>3</v>
      </c>
      <c r="P184" t="s">
        <v>113</v>
      </c>
      <c r="R184" t="s">
        <v>70</v>
      </c>
      <c r="S184">
        <f>IFERROR(VALUE(RIGHT(LightSpec[[#This Row],[From]],1)), 0)</f>
        <v>2</v>
      </c>
      <c r="T18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8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8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8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8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8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8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8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85" spans="1:27" hidden="1" x14ac:dyDescent="0.25">
      <c r="A185" t="str">
        <f>LightSpec[[#This Row],[From]]&amp;"-"&amp;LightSpec[[#This Row],[Room]]&amp;"-"&amp;LightSpec[[#This Row],[DiagNo]]</f>
        <v>P2S3-FE3-R1</v>
      </c>
      <c r="B185" t="str">
        <f>_xlfn.XLOOKUP(LightSpec[[#This Row],[Room]],Rooms[Code],Rooms[Room])</f>
        <v>Ensuite 3</v>
      </c>
      <c r="C185" t="str">
        <f>_xlfn.XLOOKUP(LightSpec[[#This Row],[Room]],Rooms[Code],Rooms[Floor])</f>
        <v>First</v>
      </c>
      <c r="D185" t="s">
        <v>170</v>
      </c>
      <c r="E185" t="s">
        <v>251</v>
      </c>
      <c r="F185" t="s">
        <v>370</v>
      </c>
      <c r="G185">
        <v>1</v>
      </c>
      <c r="I185" t="s">
        <v>253</v>
      </c>
      <c r="L185" t="s">
        <v>11</v>
      </c>
      <c r="M185" t="s">
        <v>92</v>
      </c>
      <c r="N185" t="s">
        <v>92</v>
      </c>
      <c r="R185" t="s">
        <v>254</v>
      </c>
      <c r="S185">
        <f>IFERROR(VALUE(RIGHT(LightSpec[[#This Row],[From]],1)), 0)</f>
        <v>3</v>
      </c>
      <c r="T18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8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8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Ensuite 3 (PIR R1)</v>
      </c>
      <c r="W18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8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8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8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P2S3-FE3-R1 (PIR R1)</v>
      </c>
      <c r="AA18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86" spans="1:27" x14ac:dyDescent="0.25">
      <c r="A186" t="str">
        <f>LightSpec[[#This Row],[From]]&amp;"-"&amp;LightSpec[[#This Row],[Room]]&amp;"-"&amp;LightSpec[[#This Row],[DiagNo]]</f>
        <v>D27O1-FB4-C1</v>
      </c>
      <c r="B186" t="str">
        <f>_xlfn.XLOOKUP(LightSpec[[#This Row],[Room]],Rooms[Code],Rooms[Room])</f>
        <v>Bed 4</v>
      </c>
      <c r="C186" t="str">
        <f>_xlfn.XLOOKUP(LightSpec[[#This Row],[Room]],Rooms[Code],Rooms[Floor])</f>
        <v>First</v>
      </c>
      <c r="D186" t="s">
        <v>171</v>
      </c>
      <c r="E186" t="s">
        <v>151</v>
      </c>
      <c r="F186" t="s">
        <v>373</v>
      </c>
      <c r="I186" t="s">
        <v>4</v>
      </c>
      <c r="J186">
        <v>60</v>
      </c>
      <c r="K186">
        <v>1</v>
      </c>
      <c r="L186" t="s">
        <v>11</v>
      </c>
      <c r="M186" t="s">
        <v>136</v>
      </c>
      <c r="N186" t="s">
        <v>140</v>
      </c>
      <c r="O186">
        <v>60</v>
      </c>
      <c r="R186" t="s">
        <v>66</v>
      </c>
      <c r="S186">
        <f>IFERROR(VALUE(RIGHT(LightSpec[[#This Row],[From]],1)), 0)</f>
        <v>1</v>
      </c>
      <c r="T18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8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8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8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8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8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8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8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87" spans="1:27" x14ac:dyDescent="0.25">
      <c r="A187" s="6" t="str">
        <f>LightSpec[[#This Row],[From]]&amp;"-"&amp;LightSpec[[#This Row],[Room]]&amp;"-"&amp;LightSpec[[#This Row],[DiagNo]]</f>
        <v>D29O1-FB4-C2</v>
      </c>
      <c r="B187" s="6" t="str">
        <f>_xlfn.XLOOKUP(LightSpec[[#This Row],[Room]],Rooms[Code],Rooms[Room])</f>
        <v>Bed 4</v>
      </c>
      <c r="C187" s="6" t="str">
        <f>_xlfn.XLOOKUP(LightSpec[[#This Row],[Room]],Rooms[Code],Rooms[Floor])</f>
        <v>First</v>
      </c>
      <c r="D187" s="6" t="s">
        <v>171</v>
      </c>
      <c r="E187" s="6" t="s">
        <v>150</v>
      </c>
      <c r="F187" s="6" t="s">
        <v>484</v>
      </c>
      <c r="G187" s="6"/>
      <c r="H187" s="6"/>
      <c r="I187" s="6" t="s">
        <v>483</v>
      </c>
      <c r="J187">
        <v>9</v>
      </c>
      <c r="K187">
        <v>3</v>
      </c>
      <c r="L187" t="s">
        <v>11</v>
      </c>
      <c r="M187" t="s">
        <v>136</v>
      </c>
      <c r="N187" t="s">
        <v>140</v>
      </c>
      <c r="O187">
        <f>LightSpec[[#This Row],[No. of fittings]]*LightSpec[[#This Row],[Wattage / unit]]</f>
        <v>27</v>
      </c>
      <c r="R187" t="s">
        <v>90</v>
      </c>
      <c r="S187">
        <f>IFERROR(VALUE(RIGHT(LightSpec[[#This Row],[From]],1)), 0)</f>
        <v>1</v>
      </c>
      <c r="T18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8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8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8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8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8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8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8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88" spans="1:27" x14ac:dyDescent="0.25">
      <c r="A188" t="str">
        <f>LightSpec[[#This Row],[From]]&amp;"-"&amp;LightSpec[[#This Row],[Room]]&amp;"-"&amp;LightSpec[[#This Row],[DiagNo]]</f>
        <v>D27O2-FB4-C3</v>
      </c>
      <c r="B188" t="str">
        <f>_xlfn.XLOOKUP(LightSpec[[#This Row],[Room]],Rooms[Code],Rooms[Room])</f>
        <v>Bed 4</v>
      </c>
      <c r="C188" t="str">
        <f>_xlfn.XLOOKUP(LightSpec[[#This Row],[Room]],Rooms[Code],Rooms[Floor])</f>
        <v>First</v>
      </c>
      <c r="D188" t="s">
        <v>171</v>
      </c>
      <c r="E188" t="s">
        <v>149</v>
      </c>
      <c r="F188" t="s">
        <v>374</v>
      </c>
      <c r="I188" t="s">
        <v>17</v>
      </c>
      <c r="J188" t="s">
        <v>14</v>
      </c>
      <c r="K188">
        <v>1</v>
      </c>
      <c r="L188" t="s">
        <v>13</v>
      </c>
      <c r="M188" t="s">
        <v>136</v>
      </c>
      <c r="N188" t="s">
        <v>140</v>
      </c>
      <c r="O188" t="s">
        <v>3</v>
      </c>
      <c r="P188" t="s">
        <v>113</v>
      </c>
      <c r="R188" t="s">
        <v>86</v>
      </c>
      <c r="S188">
        <f>IFERROR(VALUE(RIGHT(LightSpec[[#This Row],[From]],1)), 0)</f>
        <v>2</v>
      </c>
      <c r="T18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8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8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8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8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8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8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8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89" spans="1:27" hidden="1" x14ac:dyDescent="0.25">
      <c r="A189" t="str">
        <f>LightSpec[[#This Row],[From]]&amp;"-"&amp;LightSpec[[#This Row],[Room]]&amp;"-"&amp;LightSpec[[#This Row],[DiagNo]]</f>
        <v>MCB-FB4-P1</v>
      </c>
      <c r="B189" t="str">
        <f>_xlfn.XLOOKUP(LightSpec[[#This Row],[Room]],Rooms[Code],Rooms[Room])</f>
        <v>Bed 4</v>
      </c>
      <c r="C189" t="str">
        <f>_xlfn.XLOOKUP(LightSpec[[#This Row],[Room]],Rooms[Code],Rooms[Floor])</f>
        <v>First</v>
      </c>
      <c r="D189" t="s">
        <v>171</v>
      </c>
      <c r="E189" t="s">
        <v>238</v>
      </c>
      <c r="F189" t="s">
        <v>206</v>
      </c>
      <c r="I189" t="s">
        <v>239</v>
      </c>
      <c r="L189" t="s">
        <v>11</v>
      </c>
      <c r="M189" t="s">
        <v>248</v>
      </c>
      <c r="N189" t="s">
        <v>247</v>
      </c>
      <c r="R189" t="s">
        <v>250</v>
      </c>
      <c r="S189">
        <f>IFERROR(VALUE(RIGHT(LightSpec[[#This Row],[From]],1)), 0)</f>
        <v>0</v>
      </c>
      <c r="T18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8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8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8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8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8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8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8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0" spans="1:27" hidden="1" x14ac:dyDescent="0.25">
      <c r="A190" t="str">
        <f>LightSpec[[#This Row],[From]]&amp;"-"&amp;LightSpec[[#This Row],[Room]]&amp;"-"&amp;LightSpec[[#This Row],[DiagNo]]</f>
        <v>MCB-FB4-P2</v>
      </c>
      <c r="B190" t="str">
        <f>_xlfn.XLOOKUP(LightSpec[[#This Row],[Room]],Rooms[Code],Rooms[Room])</f>
        <v>Bed 4</v>
      </c>
      <c r="C190" t="str">
        <f>_xlfn.XLOOKUP(LightSpec[[#This Row],[Room]],Rooms[Code],Rooms[Floor])</f>
        <v>First</v>
      </c>
      <c r="D190" t="s">
        <v>171</v>
      </c>
      <c r="E190" t="s">
        <v>237</v>
      </c>
      <c r="F190" t="s">
        <v>206</v>
      </c>
      <c r="I190" t="s">
        <v>239</v>
      </c>
      <c r="L190" t="s">
        <v>11</v>
      </c>
      <c r="M190" t="s">
        <v>248</v>
      </c>
      <c r="N190" t="s">
        <v>247</v>
      </c>
      <c r="R190" t="s">
        <v>250</v>
      </c>
      <c r="S190">
        <f>IFERROR(VALUE(RIGHT(LightSpec[[#This Row],[From]],1)), 0)</f>
        <v>0</v>
      </c>
      <c r="T19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9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9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9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9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1" spans="1:27" hidden="1" x14ac:dyDescent="0.25">
      <c r="A191" t="str">
        <f>LightSpec[[#This Row],[From]]&amp;"-"&amp;LightSpec[[#This Row],[Room]]&amp;"-"&amp;LightSpec[[#This Row],[DiagNo]]</f>
        <v>MCB-FB4-P3</v>
      </c>
      <c r="B191" t="str">
        <f>_xlfn.XLOOKUP(LightSpec[[#This Row],[Room]],Rooms[Code],Rooms[Room])</f>
        <v>Bed 4</v>
      </c>
      <c r="C191" t="str">
        <f>_xlfn.XLOOKUP(LightSpec[[#This Row],[Room]],Rooms[Code],Rooms[Floor])</f>
        <v>First</v>
      </c>
      <c r="D191" t="s">
        <v>171</v>
      </c>
      <c r="E191" t="s">
        <v>245</v>
      </c>
      <c r="F191" t="s">
        <v>206</v>
      </c>
      <c r="I191" t="s">
        <v>239</v>
      </c>
      <c r="L191" t="s">
        <v>11</v>
      </c>
      <c r="M191" t="s">
        <v>248</v>
      </c>
      <c r="N191" t="s">
        <v>247</v>
      </c>
      <c r="R191" t="s">
        <v>250</v>
      </c>
      <c r="S191">
        <f>IFERROR(VALUE(RIGHT(LightSpec[[#This Row],[From]],1)), 0)</f>
        <v>0</v>
      </c>
      <c r="T19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9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9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9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9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2" spans="1:27" hidden="1" x14ac:dyDescent="0.25">
      <c r="A192" t="str">
        <f>LightSpec[[#This Row],[From]]&amp;"-"&amp;LightSpec[[#This Row],[Room]]&amp;"-"&amp;LightSpec[[#This Row],[DiagNo]]</f>
        <v>MCB-FB4-P4</v>
      </c>
      <c r="B192" t="str">
        <f>_xlfn.XLOOKUP(LightSpec[[#This Row],[Room]],Rooms[Code],Rooms[Room])</f>
        <v>Bed 4</v>
      </c>
      <c r="C192" t="str">
        <f>_xlfn.XLOOKUP(LightSpec[[#This Row],[Room]],Rooms[Code],Rooms[Floor])</f>
        <v>First</v>
      </c>
      <c r="D192" t="s">
        <v>171</v>
      </c>
      <c r="E192" t="s">
        <v>294</v>
      </c>
      <c r="F192" t="s">
        <v>206</v>
      </c>
      <c r="I192" t="s">
        <v>239</v>
      </c>
      <c r="L192" t="s">
        <v>11</v>
      </c>
      <c r="M192" t="s">
        <v>248</v>
      </c>
      <c r="N192" t="s">
        <v>247</v>
      </c>
      <c r="R192" t="s">
        <v>250</v>
      </c>
      <c r="S192">
        <f>IFERROR(VALUE(RIGHT(LightSpec[[#This Row],[From]],1)), 0)</f>
        <v>0</v>
      </c>
      <c r="T19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9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9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9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9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3" spans="1:27" hidden="1" x14ac:dyDescent="0.25">
      <c r="A193" t="str">
        <f>LightSpec[[#This Row],[From]]&amp;"-"&amp;LightSpec[[#This Row],[Room]]&amp;"-"&amp;LightSpec[[#This Row],[DiagNo]]</f>
        <v>E18-FB4-D1</v>
      </c>
      <c r="B193" t="str">
        <f>_xlfn.XLOOKUP(LightSpec[[#This Row],[Room]],Rooms[Code],Rooms[Room])</f>
        <v>Bed 4</v>
      </c>
      <c r="C193" t="str">
        <f>_xlfn.XLOOKUP(LightSpec[[#This Row],[Room]],Rooms[Code],Rooms[Floor])</f>
        <v>First</v>
      </c>
      <c r="D193" t="s">
        <v>171</v>
      </c>
      <c r="E193" t="s">
        <v>266</v>
      </c>
      <c r="F193" t="s">
        <v>387</v>
      </c>
      <c r="I193" t="s">
        <v>268</v>
      </c>
      <c r="L193" t="s">
        <v>269</v>
      </c>
      <c r="M193" t="s">
        <v>270</v>
      </c>
      <c r="N193" t="s">
        <v>247</v>
      </c>
      <c r="R193" t="s">
        <v>271</v>
      </c>
      <c r="S193">
        <f>IFERROR(VALUE(RIGHT(LightSpec[[#This Row],[From]],1)), 0)</f>
        <v>8</v>
      </c>
      <c r="T19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9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9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9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9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4" spans="1:27" hidden="1" x14ac:dyDescent="0.25">
      <c r="A194" t="str">
        <f>LightSpec[[#This Row],[From]]&amp;"-"&amp;LightSpec[[#This Row],[Room]]&amp;"-"&amp;LightSpec[[#This Row],[DiagNo]]</f>
        <v>T1-FB4-TV</v>
      </c>
      <c r="B194" t="str">
        <f>_xlfn.XLOOKUP(LightSpec[[#This Row],[Room]],Rooms[Code],Rooms[Room])</f>
        <v>Bed 4</v>
      </c>
      <c r="C194" t="str">
        <f>_xlfn.XLOOKUP(LightSpec[[#This Row],[Room]],Rooms[Code],Rooms[Floor])</f>
        <v>First</v>
      </c>
      <c r="D194" t="s">
        <v>171</v>
      </c>
      <c r="E194" t="s">
        <v>240</v>
      </c>
      <c r="F194" t="s">
        <v>297</v>
      </c>
      <c r="I194" t="s">
        <v>298</v>
      </c>
      <c r="L194" t="s">
        <v>240</v>
      </c>
      <c r="M194" t="s">
        <v>240</v>
      </c>
      <c r="N194" t="s">
        <v>247</v>
      </c>
      <c r="R194" t="s">
        <v>299</v>
      </c>
      <c r="S194">
        <f>IFERROR(VALUE(RIGHT(LightSpec[[#This Row],[From]],1)), 0)</f>
        <v>1</v>
      </c>
      <c r="T194"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94"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94"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4"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4"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94"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94"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4"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5" spans="1:27" x14ac:dyDescent="0.25">
      <c r="A195" t="str">
        <f>LightSpec[[#This Row],[From]]&amp;"-"&amp;LightSpec[[#This Row],[Room]]&amp;"-"&amp;LightSpec[[#This Row],[DiagNo]]</f>
        <v>D26S1-FB4-S1</v>
      </c>
      <c r="B195" t="str">
        <f>_xlfn.XLOOKUP(LightSpec[[#This Row],[Room]],Rooms[Code],Rooms[Room])</f>
        <v>Bed 4</v>
      </c>
      <c r="C195" t="str">
        <f>_xlfn.XLOOKUP(LightSpec[[#This Row],[Room]],Rooms[Code],Rooms[Floor])</f>
        <v>First</v>
      </c>
      <c r="D195" t="s">
        <v>171</v>
      </c>
      <c r="E195" t="s">
        <v>192</v>
      </c>
      <c r="F195" t="s">
        <v>375</v>
      </c>
      <c r="G195">
        <v>2</v>
      </c>
      <c r="H195">
        <v>0</v>
      </c>
      <c r="I195" t="s">
        <v>599</v>
      </c>
      <c r="L195" t="s">
        <v>11</v>
      </c>
      <c r="M195" t="s">
        <v>279</v>
      </c>
      <c r="N195" t="s">
        <v>409</v>
      </c>
      <c r="S195">
        <f>IFERROR(VALUE(RIGHT(LightSpec[[#This Row],[From]],1)), 0)</f>
        <v>1</v>
      </c>
      <c r="T195"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Bed 4 (Switch S1)</v>
      </c>
      <c r="U195"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Bed 4 (Switch S1)</v>
      </c>
      <c r="V195"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5"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5"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D26S1-FB4-S1 (Switch S1)</v>
      </c>
      <c r="Y195"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D26S1-FB4-S1 (Switch S1)</v>
      </c>
      <c r="Z195"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5"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6" spans="1:27" x14ac:dyDescent="0.25">
      <c r="A196" t="str">
        <f>LightSpec[[#This Row],[From]]&amp;"-"&amp;LightSpec[[#This Row],[Room]]&amp;"-"&amp;LightSpec[[#This Row],[DiagNo]]</f>
        <v>D27S1-FB4-S2</v>
      </c>
      <c r="B196" t="str">
        <f>_xlfn.XLOOKUP(LightSpec[[#This Row],[Room]],Rooms[Code],Rooms[Room])</f>
        <v>Bed 4</v>
      </c>
      <c r="C196" t="str">
        <f>_xlfn.XLOOKUP(LightSpec[[#This Row],[Room]],Rooms[Code],Rooms[Floor])</f>
        <v>First</v>
      </c>
      <c r="D196" t="s">
        <v>171</v>
      </c>
      <c r="E196" t="s">
        <v>193</v>
      </c>
      <c r="F196" t="s">
        <v>376</v>
      </c>
      <c r="G196">
        <v>2</v>
      </c>
      <c r="H196">
        <v>0</v>
      </c>
      <c r="I196" t="s">
        <v>229</v>
      </c>
      <c r="L196" t="s">
        <v>11</v>
      </c>
      <c r="M196" t="s">
        <v>279</v>
      </c>
      <c r="N196" t="s">
        <v>409</v>
      </c>
      <c r="S196">
        <f>IFERROR(VALUE(RIGHT(LightSpec[[#This Row],[From]],1)), 0)</f>
        <v>1</v>
      </c>
      <c r="T196"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Bed 4 (Switch S2)</v>
      </c>
      <c r="U196"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Bed 4 (Switch S2)</v>
      </c>
      <c r="V196"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6"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6"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D27S1-FB4-S2 (Switch S2)</v>
      </c>
      <c r="Y196"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D27S1-FB4-S2 (Switch S2)</v>
      </c>
      <c r="Z196"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6"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7" spans="1:27" x14ac:dyDescent="0.25">
      <c r="A197" t="str">
        <f>LightSpec[[#This Row],[From]]&amp;"-"&amp;LightSpec[[#This Row],[Room]]&amp;"-"&amp;LightSpec[[#This Row],[DiagNo]]</f>
        <v>D28O1-FE4-C1</v>
      </c>
      <c r="B197" t="str">
        <f>_xlfn.XLOOKUP(LightSpec[[#This Row],[Room]],Rooms[Code],Rooms[Room])</f>
        <v>Ensuite 4</v>
      </c>
      <c r="C197" t="str">
        <f>_xlfn.XLOOKUP(LightSpec[[#This Row],[Room]],Rooms[Code],Rooms[Floor])</f>
        <v>First</v>
      </c>
      <c r="D197" t="s">
        <v>172</v>
      </c>
      <c r="E197" t="s">
        <v>151</v>
      </c>
      <c r="F197" t="s">
        <v>377</v>
      </c>
      <c r="I197" t="s">
        <v>5</v>
      </c>
      <c r="J197">
        <v>9</v>
      </c>
      <c r="K197">
        <v>3</v>
      </c>
      <c r="L197" t="s">
        <v>11</v>
      </c>
      <c r="M197" t="s">
        <v>136</v>
      </c>
      <c r="N197" t="s">
        <v>140</v>
      </c>
      <c r="O197">
        <v>54</v>
      </c>
      <c r="R197" t="s">
        <v>90</v>
      </c>
      <c r="S197">
        <f>IFERROR(VALUE(RIGHT(LightSpec[[#This Row],[From]],1)), 0)</f>
        <v>1</v>
      </c>
      <c r="T197"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97"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97"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7"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7"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97"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97"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7"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8" spans="1:27" x14ac:dyDescent="0.25">
      <c r="A198" t="str">
        <f>LightSpec[[#This Row],[From]]&amp;"-"&amp;LightSpec[[#This Row],[Room]]&amp;"-"&amp;LightSpec[[#This Row],[DiagNo]]</f>
        <v>D28O1-FE4-C1</v>
      </c>
      <c r="B198" t="str">
        <f>_xlfn.XLOOKUP(LightSpec[[#This Row],[Room]],Rooms[Code],Rooms[Room])</f>
        <v>Ensuite 4</v>
      </c>
      <c r="C198" t="str">
        <f>_xlfn.XLOOKUP(LightSpec[[#This Row],[Room]],Rooms[Code],Rooms[Floor])</f>
        <v>First</v>
      </c>
      <c r="D198" t="s">
        <v>172</v>
      </c>
      <c r="E198" t="s">
        <v>151</v>
      </c>
      <c r="F198" t="s">
        <v>377</v>
      </c>
      <c r="I198" t="s">
        <v>16</v>
      </c>
      <c r="J198">
        <v>9</v>
      </c>
      <c r="K198">
        <v>3</v>
      </c>
      <c r="L198" t="s">
        <v>11</v>
      </c>
      <c r="M198" t="s">
        <v>136</v>
      </c>
      <c r="N198" t="s">
        <v>140</v>
      </c>
      <c r="S198">
        <f>IFERROR(VALUE(RIGHT(LightSpec[[#This Row],[From]],1)), 0)</f>
        <v>1</v>
      </c>
      <c r="T198"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98"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98"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8"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8"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98"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98"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8"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199" spans="1:27" hidden="1" x14ac:dyDescent="0.25">
      <c r="A199" t="str">
        <f>LightSpec[[#This Row],[From]]&amp;"-"&amp;LightSpec[[#This Row],[Room]]&amp;"-"&amp;LightSpec[[#This Row],[DiagNo]]</f>
        <v>P6O1-FE4-C2</v>
      </c>
      <c r="B199" t="str">
        <f>_xlfn.XLOOKUP(LightSpec[[#This Row],[Room]],Rooms[Code],Rooms[Room])</f>
        <v>Ensuite 4</v>
      </c>
      <c r="C199" t="str">
        <f>_xlfn.XLOOKUP(LightSpec[[#This Row],[Room]],Rooms[Code],Rooms[Floor])</f>
        <v>First</v>
      </c>
      <c r="D199" t="s">
        <v>172</v>
      </c>
      <c r="E199" t="s">
        <v>150</v>
      </c>
      <c r="F199" t="s">
        <v>378</v>
      </c>
      <c r="I199" t="s">
        <v>19</v>
      </c>
      <c r="J199">
        <v>3</v>
      </c>
      <c r="K199">
        <v>1</v>
      </c>
      <c r="L199" t="s">
        <v>9</v>
      </c>
      <c r="M199" t="s">
        <v>115</v>
      </c>
      <c r="N199" t="s">
        <v>139</v>
      </c>
      <c r="O199">
        <v>12</v>
      </c>
      <c r="P199" t="s">
        <v>113</v>
      </c>
      <c r="R199" t="s">
        <v>91</v>
      </c>
      <c r="S199">
        <f>IFERROR(VALUE(RIGHT(LightSpec[[#This Row],[From]],1)), 0)</f>
        <v>1</v>
      </c>
      <c r="T199"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199"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199"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199"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199"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199"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199"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199"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00" spans="1:27" hidden="1" x14ac:dyDescent="0.25">
      <c r="A200" t="str">
        <f>LightSpec[[#This Row],[From]]&amp;"-"&amp;LightSpec[[#This Row],[Room]]&amp;"-"&amp;LightSpec[[#This Row],[DiagNo]]</f>
        <v>P6O1-FE4-C2</v>
      </c>
      <c r="B200" t="str">
        <f>_xlfn.XLOOKUP(LightSpec[[#This Row],[Room]],Rooms[Code],Rooms[Room])</f>
        <v>Ensuite 4</v>
      </c>
      <c r="C200" t="str">
        <f>_xlfn.XLOOKUP(LightSpec[[#This Row],[Room]],Rooms[Code],Rooms[Floor])</f>
        <v>First</v>
      </c>
      <c r="D200" t="s">
        <v>172</v>
      </c>
      <c r="E200" t="s">
        <v>150</v>
      </c>
      <c r="F200" t="s">
        <v>378</v>
      </c>
      <c r="I200" t="s">
        <v>22</v>
      </c>
      <c r="J200">
        <v>3</v>
      </c>
      <c r="K200">
        <v>1</v>
      </c>
      <c r="L200" t="s">
        <v>9</v>
      </c>
      <c r="M200" t="s">
        <v>115</v>
      </c>
      <c r="N200" t="s">
        <v>139</v>
      </c>
      <c r="S200">
        <f>IFERROR(VALUE(RIGHT(LightSpec[[#This Row],[From]],1)), 0)</f>
        <v>1</v>
      </c>
      <c r="T200"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00"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00"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00"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00"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00"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00"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00"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01" spans="1:27" hidden="1" x14ac:dyDescent="0.25">
      <c r="A201" t="str">
        <f>LightSpec[[#This Row],[From]]&amp;"-"&amp;LightSpec[[#This Row],[Room]]&amp;"-"&amp;LightSpec[[#This Row],[DiagNo]]</f>
        <v>P6O2-FE4-C3</v>
      </c>
      <c r="B201" t="str">
        <f>_xlfn.XLOOKUP(LightSpec[[#This Row],[Room]],Rooms[Code],Rooms[Room])</f>
        <v>Ensuite 4</v>
      </c>
      <c r="C201" t="str">
        <f>_xlfn.XLOOKUP(LightSpec[[#This Row],[Room]],Rooms[Code],Rooms[Floor])</f>
        <v>First</v>
      </c>
      <c r="D201" t="s">
        <v>172</v>
      </c>
      <c r="E201" t="s">
        <v>149</v>
      </c>
      <c r="F201" t="s">
        <v>379</v>
      </c>
      <c r="I201" t="s">
        <v>17</v>
      </c>
      <c r="J201" t="s">
        <v>3</v>
      </c>
      <c r="K201">
        <v>1</v>
      </c>
      <c r="L201" t="s">
        <v>11</v>
      </c>
      <c r="M201" t="s">
        <v>115</v>
      </c>
      <c r="N201" t="s">
        <v>139</v>
      </c>
      <c r="O201" t="s">
        <v>3</v>
      </c>
      <c r="R201" t="s">
        <v>20</v>
      </c>
      <c r="S201">
        <f>IFERROR(VALUE(RIGHT(LightSpec[[#This Row],[From]],1)), 0)</f>
        <v>2</v>
      </c>
      <c r="T201"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01"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01"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01"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01"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01"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01"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01"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02" spans="1:27" hidden="1" x14ac:dyDescent="0.25">
      <c r="A202" s="6" t="str">
        <f>LightSpec[[#This Row],[From]]&amp;"-"&amp;LightSpec[[#This Row],[Room]]&amp;"-"&amp;LightSpec[[#This Row],[DiagNo]]</f>
        <v>P6O3-FE4-C4</v>
      </c>
      <c r="B202" s="6" t="str">
        <f>_xlfn.XLOOKUP(LightSpec[[#This Row],[Room]],Rooms[Code],Rooms[Room])</f>
        <v>Ensuite 4</v>
      </c>
      <c r="C202" s="6" t="str">
        <f>_xlfn.XLOOKUP(LightSpec[[#This Row],[Room]],Rooms[Code],Rooms[Floor])</f>
        <v>First</v>
      </c>
      <c r="D202" s="6" t="s">
        <v>172</v>
      </c>
      <c r="E202" s="6" t="s">
        <v>148</v>
      </c>
      <c r="F202" s="6" t="s">
        <v>380</v>
      </c>
      <c r="G202" s="6"/>
      <c r="H202" s="6"/>
      <c r="I202" s="6" t="s">
        <v>654</v>
      </c>
      <c r="J202" t="s">
        <v>14</v>
      </c>
      <c r="K202">
        <v>1</v>
      </c>
      <c r="L202" t="s">
        <v>13</v>
      </c>
      <c r="M202" t="s">
        <v>115</v>
      </c>
      <c r="N202" t="s">
        <v>139</v>
      </c>
      <c r="O202" t="s">
        <v>3</v>
      </c>
      <c r="P202" t="s">
        <v>113</v>
      </c>
      <c r="R202" t="s">
        <v>71</v>
      </c>
      <c r="S202">
        <f>IFERROR(VALUE(RIGHT(LightSpec[[#This Row],[From]],1)), 0)</f>
        <v>3</v>
      </c>
      <c r="T202"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02"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02"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02"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
      </c>
      <c r="X202"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02"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02"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02"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
      </c>
    </row>
    <row r="203" spans="1:27" hidden="1" x14ac:dyDescent="0.25">
      <c r="A203" t="str">
        <f>LightSpec[[#This Row],[From]]&amp;"-"&amp;LightSpec[[#This Row],[Room]]&amp;"-"&amp;LightSpec[[#This Row],[DiagNo]]</f>
        <v>P2S4-FE4-R1</v>
      </c>
      <c r="B203" t="str">
        <f>_xlfn.XLOOKUP(LightSpec[[#This Row],[Room]],Rooms[Code],Rooms[Room])</f>
        <v>Ensuite 4</v>
      </c>
      <c r="C203" t="str">
        <f>_xlfn.XLOOKUP(LightSpec[[#This Row],[Room]],Rooms[Code],Rooms[Floor])</f>
        <v>First</v>
      </c>
      <c r="D203" t="s">
        <v>172</v>
      </c>
      <c r="E203" t="s">
        <v>251</v>
      </c>
      <c r="F203" t="s">
        <v>388</v>
      </c>
      <c r="G203">
        <v>1</v>
      </c>
      <c r="I203" t="s">
        <v>362</v>
      </c>
      <c r="L203" t="s">
        <v>11</v>
      </c>
      <c r="M203" t="s">
        <v>92</v>
      </c>
      <c r="N203" t="s">
        <v>92</v>
      </c>
      <c r="R203" t="s">
        <v>254</v>
      </c>
      <c r="S203">
        <f>IFERROR(VALUE(RIGHT(LightSpec[[#This Row],[From]],1)), 0)</f>
        <v>4</v>
      </c>
      <c r="T203" t="str">
        <f>IF(
  AND(
    OR(LEFT(LightSpec[[#This Row],[DiagNo]],1)="R", LEFT(LightSpec[[#This Row],[DiagNo]],1)="S"),
    1 &gt;= LightSpec[[#This Row],[StartPos]],
    1 &lt; LightSpec[[#This Row],[StartPos]] + LightSpec[[#This Row],[SwitchCount]]
  ),
  LightSpec[[#This Row],[Location]] &amp; " (" &amp; IF(LEFT(LightSpec[[#This Row],[DiagNo]],1)="R","PIR ","Switch ") &amp;LightSpec[[#This Row],[DiagNo]] &amp; ")",
  ""
)</f>
        <v/>
      </c>
      <c r="U203" t="str">
        <f>IF(
  AND(
    OR(LEFT(LightSpec[[#This Row],[DiagNo]],1)="R", LEFT(LightSpec[[#This Row],[DiagNo]],1)="S"),
    2 &gt;= LightSpec[[#This Row],[StartPos]],
    2 &lt; LightSpec[[#This Row],[StartPos]] + LightSpec[[#This Row],[SwitchCount]]
  ),
  LightSpec[[#This Row],[Location]] &amp; " (" &amp; IF(LEFT(LightSpec[[#This Row],[DiagNo]],1)="R","PIR ","Switch ") &amp;LightSpec[[#This Row],[DiagNo]] &amp; ")",
  ""
)</f>
        <v/>
      </c>
      <c r="V203" t="str">
        <f>IF(
  AND(
    OR(LEFT(LightSpec[[#This Row],[DiagNo]],1)="R", LEFT(LightSpec[[#This Row],[DiagNo]],1)="S"),
    3 &gt;= LightSpec[[#This Row],[StartPos]],
    3 &lt; LightSpec[[#This Row],[StartPos]] + LightSpec[[#This Row],[SwitchCount]]
  ),
  LightSpec[[#This Row],[Location]] &amp; " (" &amp; IF(LEFT(LightSpec[[#This Row],[DiagNo]],1)="R","PIR ","Switch ") &amp;LightSpec[[#This Row],[DiagNo]] &amp; ")",
  ""
)</f>
        <v/>
      </c>
      <c r="W203" t="str">
        <f>IF(
  AND(
    OR(LEFT(LightSpec[[#This Row],[DiagNo]],1)="R", LEFT(LightSpec[[#This Row],[DiagNo]],1)="S"),
    4 &gt;= LightSpec[[#This Row],[StartPos]],
    4 &lt; LightSpec[[#This Row],[StartPos]] + LightSpec[[#This Row],[SwitchCount]]
  ),
  LightSpec[[#This Row],[Location]] &amp; " (" &amp; IF(LEFT(LightSpec[[#This Row],[DiagNo]],1)="R","PIR ","Switch ") &amp;LightSpec[[#This Row],[DiagNo]] &amp; ")",
  ""
)</f>
        <v>Ensuite 4 (PIR R1)</v>
      </c>
      <c r="X203" t="str">
        <f>IF(
  AND(
    OR(LEFT(LightSpec[[#This Row],[DiagNo]],1)="R", LEFT(LightSpec[[#This Row],[DiagNo]],1)="S"),
    1 &gt;= LightSpec[[#This Row],[StartPos]],
    1 &lt; LightSpec[[#This Row],[StartPos]] + LightSpec[[#This Row],[SwitchCount]]
  ),
  LightSpec[[#This Row],[Code]] &amp; " (" &amp; IF(LEFT(LightSpec[[#This Row],[DiagNo]],1)="R","PIR ","Switch ") &amp;LightSpec[[#This Row],[DiagNo]] &amp; ")",
  ""
)</f>
        <v/>
      </c>
      <c r="Y203" t="str">
        <f>IF(
  AND(
    OR(LEFT(LightSpec[[#This Row],[DiagNo]],1)="R", LEFT(LightSpec[[#This Row],[DiagNo]],1)="S"),
    2 &gt;= LightSpec[[#This Row],[StartPos]],
    2 &lt; LightSpec[[#This Row],[StartPos]] + LightSpec[[#This Row],[SwitchCount]]
  ),
  LightSpec[[#This Row],[Code]] &amp; " (" &amp; IF(LEFT(LightSpec[[#This Row],[DiagNo]],1)="R","PIR ","Switch ") &amp;LightSpec[[#This Row],[DiagNo]] &amp; ")",
  ""
)</f>
        <v/>
      </c>
      <c r="Z203" t="str">
        <f>IF(
  AND(
    OR(LEFT(LightSpec[[#This Row],[DiagNo]],1)="R", LEFT(LightSpec[[#This Row],[DiagNo]],1)="S"),
    3 &gt;= LightSpec[[#This Row],[StartPos]],
    3 &lt; LightSpec[[#This Row],[StartPos]] + LightSpec[[#This Row],[SwitchCount]]
  ),
  LightSpec[[#This Row],[Code]] &amp; " (" &amp; IF(LEFT(LightSpec[[#This Row],[DiagNo]],1)="R","PIR ","Switch ") &amp;LightSpec[[#This Row],[DiagNo]] &amp; ")",
  ""
)</f>
        <v/>
      </c>
      <c r="AA203" t="str">
        <f>IF(
  AND(
    OR(LEFT(LightSpec[[#This Row],[DiagNo]],1)="R", LEFT(LightSpec[[#This Row],[DiagNo]],1)="S"),
    4 &gt;= LightSpec[[#This Row],[StartPos]],
    4 &lt; LightSpec[[#This Row],[StartPos]] + LightSpec[[#This Row],[SwitchCount]]
  ),
  LightSpec[[#This Row],[Code]] &amp; " (" &amp; IF(LEFT(LightSpec[[#This Row],[DiagNo]],1)="R","PIR ","Switch ") &amp;LightSpec[[#This Row],[DiagNo]] &amp; ")",
  ""
)</f>
        <v>P2S4-FE4-R1 (PIR R1)</v>
      </c>
    </row>
    <row r="206" spans="1:27" x14ac:dyDescent="0.25">
      <c r="I206" s="1" t="s">
        <v>391</v>
      </c>
    </row>
    <row r="207" spans="1:27" x14ac:dyDescent="0.25">
      <c r="I207" s="2" t="s">
        <v>403</v>
      </c>
    </row>
    <row r="208" spans="1:27" x14ac:dyDescent="0.25">
      <c r="I208" s="3" t="s">
        <v>392</v>
      </c>
    </row>
    <row r="210" spans="9:9" x14ac:dyDescent="0.25">
      <c r="I210" t="s">
        <v>141</v>
      </c>
    </row>
    <row r="211" spans="9:9" x14ac:dyDescent="0.25">
      <c r="I211" t="s">
        <v>393</v>
      </c>
    </row>
    <row r="212" spans="9:9" x14ac:dyDescent="0.25">
      <c r="I212" t="s">
        <v>399</v>
      </c>
    </row>
    <row r="213" spans="9:9" x14ac:dyDescent="0.25">
      <c r="I213" t="s">
        <v>400</v>
      </c>
    </row>
    <row r="214" spans="9:9" x14ac:dyDescent="0.25">
      <c r="I214" t="s">
        <v>401</v>
      </c>
    </row>
    <row r="215" spans="9:9" x14ac:dyDescent="0.25">
      <c r="I215" t="s">
        <v>402</v>
      </c>
    </row>
  </sheetData>
  <phoneticPr fontId="3" type="noConversion"/>
  <pageMargins left="0.23622047244094491" right="0.23622047244094491" top="0.15748031496062992" bottom="0.15748031496062992" header="0.31496062992125984" footer="0.31496062992125984"/>
  <pageSetup paperSize="9" scale="20" fitToHeight="0" orientation="portrait" horizontalDpi="4294967295" verticalDpi="4294967295"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C190-90DA-4C1D-91FE-4AAF7334ACF2}">
  <dimension ref="A1:B9"/>
  <sheetViews>
    <sheetView workbookViewId="0">
      <selection activeCell="A3" sqref="A3"/>
    </sheetView>
  </sheetViews>
  <sheetFormatPr defaultRowHeight="15.75" x14ac:dyDescent="0.25"/>
  <cols>
    <col min="1" max="1" width="15.625" customWidth="1"/>
    <col min="2" max="2" width="13.625" customWidth="1"/>
  </cols>
  <sheetData>
    <row r="1" spans="1:2" x14ac:dyDescent="0.25">
      <c r="A1" t="s">
        <v>188</v>
      </c>
      <c r="B1" t="s">
        <v>174</v>
      </c>
    </row>
    <row r="2" spans="1:2" x14ac:dyDescent="0.25">
      <c r="A2" t="s">
        <v>198</v>
      </c>
      <c r="B2" t="s">
        <v>152</v>
      </c>
    </row>
    <row r="3" spans="1:2" x14ac:dyDescent="0.25">
      <c r="A3" t="s">
        <v>199</v>
      </c>
      <c r="B3" t="s">
        <v>204</v>
      </c>
    </row>
    <row r="4" spans="1:2" x14ac:dyDescent="0.25">
      <c r="A4" t="s">
        <v>205</v>
      </c>
      <c r="B4" t="s">
        <v>202</v>
      </c>
    </row>
    <row r="5" spans="1:2" x14ac:dyDescent="0.25">
      <c r="A5" t="s">
        <v>92</v>
      </c>
      <c r="B5" t="s">
        <v>203</v>
      </c>
    </row>
    <row r="6" spans="1:2" x14ac:dyDescent="0.25">
      <c r="A6" t="s">
        <v>200</v>
      </c>
      <c r="B6" t="s">
        <v>201</v>
      </c>
    </row>
    <row r="7" spans="1:2" x14ac:dyDescent="0.25">
      <c r="A7" t="s">
        <v>240</v>
      </c>
      <c r="B7" t="s">
        <v>241</v>
      </c>
    </row>
    <row r="8" spans="1:2" x14ac:dyDescent="0.25">
      <c r="A8" t="s">
        <v>265</v>
      </c>
      <c r="B8" t="s">
        <v>208</v>
      </c>
    </row>
    <row r="9" spans="1:2" x14ac:dyDescent="0.25">
      <c r="A9" t="s">
        <v>411</v>
      </c>
      <c r="B9" t="s">
        <v>412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8DC8A-F4BD-42DB-AA79-E6C63AA2BA9C}">
  <dimension ref="A1:C2"/>
  <sheetViews>
    <sheetView workbookViewId="0">
      <selection activeCell="B3" sqref="B3"/>
    </sheetView>
  </sheetViews>
  <sheetFormatPr defaultRowHeight="15.75" x14ac:dyDescent="0.25"/>
  <cols>
    <col min="2" max="2" width="13.25" bestFit="1" customWidth="1"/>
  </cols>
  <sheetData>
    <row r="1" spans="1:3" x14ac:dyDescent="0.25">
      <c r="A1" t="s">
        <v>673</v>
      </c>
      <c r="B1" t="s">
        <v>674</v>
      </c>
      <c r="C1" t="s">
        <v>676</v>
      </c>
    </row>
    <row r="2" spans="1:3" x14ac:dyDescent="0.25">
      <c r="A2" t="s">
        <v>669</v>
      </c>
      <c r="B2" t="s">
        <v>675</v>
      </c>
      <c r="C2" t="e" vm="1">
        <v>#VALUE!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6045-AEB7-43E9-B070-D4819DB23B34}">
  <dimension ref="A1:P50"/>
  <sheetViews>
    <sheetView topLeftCell="B16" workbookViewId="0">
      <selection activeCell="E17" sqref="E17"/>
    </sheetView>
  </sheetViews>
  <sheetFormatPr defaultRowHeight="15.75" x14ac:dyDescent="0.25"/>
  <cols>
    <col min="1" max="1" width="7" bestFit="1" customWidth="1"/>
    <col min="2" max="2" width="21.25" bestFit="1" customWidth="1"/>
    <col min="3" max="3" width="5.125" bestFit="1" customWidth="1"/>
    <col min="4" max="4" width="15.125" bestFit="1" customWidth="1"/>
    <col min="5" max="5" width="12.125" bestFit="1" customWidth="1"/>
    <col min="6" max="9" width="24.25" bestFit="1" customWidth="1"/>
    <col min="10" max="13" width="17.375" customWidth="1"/>
    <col min="14" max="14" width="25.625" customWidth="1"/>
    <col min="16" max="16" width="31.625" bestFit="1" customWidth="1"/>
  </cols>
  <sheetData>
    <row r="1" spans="1:16" x14ac:dyDescent="0.25">
      <c r="A1" t="s">
        <v>174</v>
      </c>
      <c r="B1" t="s">
        <v>188</v>
      </c>
      <c r="C1" t="s">
        <v>189</v>
      </c>
      <c r="D1" t="s">
        <v>405</v>
      </c>
      <c r="E1" t="s">
        <v>404</v>
      </c>
      <c r="F1" t="s">
        <v>487</v>
      </c>
      <c r="G1" t="s">
        <v>488</v>
      </c>
      <c r="H1" t="s">
        <v>489</v>
      </c>
      <c r="I1" t="s">
        <v>490</v>
      </c>
      <c r="J1" t="s">
        <v>190</v>
      </c>
      <c r="K1" t="s">
        <v>191</v>
      </c>
      <c r="L1" t="s">
        <v>196</v>
      </c>
      <c r="M1" t="s">
        <v>197</v>
      </c>
      <c r="N1" t="s">
        <v>679</v>
      </c>
      <c r="P1" t="s">
        <v>141</v>
      </c>
    </row>
    <row r="2" spans="1:16" x14ac:dyDescent="0.25">
      <c r="A2" t="s">
        <v>238</v>
      </c>
      <c r="B2" t="str">
        <f>_xlfn.XLOOKUP(MID(Shelly[[#This Row],[Code]],1,1), Device[Code],Device[Device])</f>
        <v>Shelly Pro 4PM</v>
      </c>
      <c r="C2" t="str">
        <f>MID(Shelly[[#This Row],[Code]],2,3)</f>
        <v>1</v>
      </c>
      <c r="D2" t="s">
        <v>587</v>
      </c>
      <c r="E2" t="str">
        <f>subnetStart&amp;_xlfn.XLOOKUP(Shelly[[#This Row],[Type]],IPConfig[Device],IPConfig[Start])+Shelly[[#This Row],[No]]-1</f>
        <v>192.168.10.51</v>
      </c>
      <c r="F2" t="str" cm="1">
        <f t="array" ref="F2">_xlfn.LET(
   _xlpm.group, Shelly[[#This Row],[Code]],
   _xlpm.matches, _xlfn._xlws.FILTER(LightSpec[S1], LEFT(LightSpec[From], LEN(_xlpm.group)) = _xlpm.group),
   IFERROR(
     INDEX(_xlpm.matches, MATCH(TRUE, _xlpm.matches&lt;&gt;"", 0)),
     ""
   )
)</f>
        <v>Entrance Landing (PIR R1)</v>
      </c>
      <c r="G2" t="str" cm="1">
        <f t="array" ref="G2">_xlfn.LET(
   _xlpm.group, Shelly[[#This Row],[Code]],
   _xlpm.matches, _xlfn._xlws.FILTER(LightSpec[S2], LEFT(LightSpec[From], LEN(_xlpm.group)) = _xlpm.group),
   IFERROR(
     INDEX(_xlpm.matches, MATCH(TRUE, _xlpm.matches&lt;&gt;"", 0)),
     ""
   )
)</f>
        <v>Laundry (PIR R1)</v>
      </c>
      <c r="H2" t="str" cm="1">
        <f t="array" ref="H2">_xlfn.LET(
   _xlpm.group, Shelly[[#This Row],[Code]],
   _xlpm.matches, _xlfn._xlws.FILTER(LightSpec[S3], LEFT(LightSpec[From], LEN(_xlpm.group)) = _xlpm.group),
   IFERROR(
     INDEX(_xlpm.matches, MATCH(TRUE, _xlpm.matches&lt;&gt;"", 0)),
     ""
   )
)</f>
        <v>Plant Room (PIR R1)</v>
      </c>
      <c r="I2" t="str" cm="1">
        <f t="array" ref="I2">_xlfn.LET(
   _xlpm.group, Shelly[[#This Row],[Code]],
   _xlpm.matches, _xlfn._xlws.FILTER(LightSpec[S4], LEFT(LightSpec[From], LEN(_xlpm.group)) = _xlpm.group),
   IFERROR(
     INDEX(_xlpm.matches, MATCH(TRUE, _xlpm.matches&lt;&gt;"", 0)),
     ""
   )
)</f>
        <v>WC/Wet room (PIR R1)</v>
      </c>
      <c r="J2" t="str" cm="1">
        <f t="array" ref="J2">_xlfn.XLOOKUP(_xlfn.XLOOKUP(Shelly[[#This Row],[Code]]&amp; Shelly[[#Headers],[O1]], LightSpec[From],LightSpec[Room], "No room"), Rooms[Code],Rooms[Room], "Empty") &amp; _xlfn.XLOOKUP(Shelly[[#This Row],[Code]]&amp; Shelly[[#Headers],[O1]], LightSpec[From], " (" &amp;LightSpec[DiagNo] &amp; ")", "")</f>
        <v>Garden (CX)</v>
      </c>
      <c r="K2" t="str" cm="1">
        <f t="array" ref="K2">_xlfn.XLOOKUP(_xlfn.XLOOKUP(Shelly[[#This Row],[Code]]&amp; Shelly[[#Headers],[O2]], LightSpec[From],LightSpec[Room], "No room"), Rooms[Code],Rooms[Room], "Empty") &amp; _xlfn.XLOOKUP(Shelly[[#This Row],[Code]]&amp; Shelly[[#Headers],[O2]], LightSpec[From], " (" &amp;LightSpec[DiagNo] &amp; ")", "")</f>
        <v>Garden (C1)</v>
      </c>
      <c r="L2" t="str" cm="1">
        <f t="array" ref="L2">IF(LEFT(Shelly[[#This Row],[Code]])="D", "NA", _xlfn.XLOOKUP(_xlfn.XLOOKUP(Shelly[[#This Row],[Code]]&amp; Shelly[[#Headers],[O3]], LightSpec[From],LightSpec[Room], "No room"), Rooms[Code],Rooms[Room], "Empty") &amp; _xlfn.XLOOKUP(Shelly[[#This Row],[Code]]&amp; Shelly[[#Headers],[O3]], LightSpec[From]," (" &amp; LightSpec[DiagNo] &amp; ")", ""))</f>
        <v>Garden (C2)</v>
      </c>
      <c r="M2" t="str" cm="1">
        <f t="array" ref="M2">IF(LEFT(Shelly[[#This Row],[Code]])="D", "NA", _xlfn.XLOOKUP(_xlfn.XLOOKUP(Shelly[[#This Row],[Code]]&amp; Shelly[[#Headers],[O4]], LightSpec[From],LightSpec[Room], "No room"), Rooms[Code],Rooms[Room], "Empty") &amp; _xlfn.XLOOKUP(Shelly[[#This Row],[Code]]&amp; Shelly[[#Headers],[O4]], LightSpec[From]," (" &amp; LightSpec[DiagNo] &amp; ")", ""))</f>
        <v>Garden (C3)</v>
      </c>
      <c r="P2" t="s">
        <v>406</v>
      </c>
    </row>
    <row r="3" spans="1:16" x14ac:dyDescent="0.25">
      <c r="A3" t="s">
        <v>237</v>
      </c>
      <c r="B3" t="str">
        <f>_xlfn.XLOOKUP(MID(Shelly[[#This Row],[Code]],1,1), Device[Code],Device[Device])</f>
        <v>Shelly Pro 4PM</v>
      </c>
      <c r="C3" t="str">
        <f>MID(Shelly[[#This Row],[Code]],2,3)</f>
        <v>2</v>
      </c>
      <c r="D3" t="s">
        <v>634</v>
      </c>
      <c r="E3" t="str">
        <f>subnetStart&amp;_xlfn.XLOOKUP(Shelly[[#This Row],[Type]],IPConfig[Device],IPConfig[Start])+Shelly[[#This Row],[No]]-1</f>
        <v>192.168.10.52</v>
      </c>
      <c r="F3" t="str" cm="1">
        <f t="array" ref="F3">_xlfn.LET(
   _xlpm.group, Shelly[[#This Row],[Code]],
   _xlpm.matches, _xlfn._xlws.FILTER(LightSpec[S1], LEFT(LightSpec[From], LEN(_xlpm.group)) = _xlpm.group),
   IFERROR(
     INDEX(_xlpm.matches, MATCH(TRUE, _xlpm.matches&lt;&gt;"", 0)),
     ""
   )
)</f>
        <v>Master Ensuite (PIR R1)</v>
      </c>
      <c r="G3" t="str" cm="1">
        <f t="array" ref="G3">_xlfn.LET(
   _xlpm.group, Shelly[[#This Row],[Code]],
   _xlpm.matches, _xlfn._xlws.FILTER(LightSpec[S2], LEFT(LightSpec[From], LEN(_xlpm.group)) = _xlpm.group),
   IFERROR(
     INDEX(_xlpm.matches, MATCH(TRUE, _xlpm.matches&lt;&gt;"", 0)),
     ""
   )
)</f>
        <v>Ensuite 2 (PIR R1)</v>
      </c>
      <c r="H3" t="str" cm="1">
        <f t="array" ref="H3">_xlfn.LET(
   _xlpm.group, Shelly[[#This Row],[Code]],
   _xlpm.matches, _xlfn._xlws.FILTER(LightSpec[S3], LEFT(LightSpec[From], LEN(_xlpm.group)) = _xlpm.group),
   IFERROR(
     INDEX(_xlpm.matches, MATCH(TRUE, _xlpm.matches&lt;&gt;"", 0)),
     ""
   )
)</f>
        <v>Ensuite 3 (PIR R1)</v>
      </c>
      <c r="I3" t="str" cm="1">
        <f t="array" ref="I3">_xlfn.LET(
   _xlpm.group, Shelly[[#This Row],[Code]],
   _xlpm.matches, _xlfn._xlws.FILTER(LightSpec[S4], LEFT(LightSpec[From], LEN(_xlpm.group)) = _xlpm.group),
   IFERROR(
     INDEX(_xlpm.matches, MATCH(TRUE, _xlpm.matches&lt;&gt;"", 0)),
     ""
   )
)</f>
        <v>Ensuite 4 (PIR R1)</v>
      </c>
      <c r="J3" t="str" cm="1">
        <f t="array" ref="J3">_xlfn.XLOOKUP(_xlfn.XLOOKUP(Shelly[[#This Row],[Code]]&amp; Shelly[[#Headers],[O1]], LightSpec[From],LightSpec[Room], "No room"), Rooms[Code],Rooms[Room], "Empty") &amp; _xlfn.XLOOKUP(Shelly[[#This Row],[Code]]&amp; Shelly[[#Headers],[O1]], LightSpec[From], " (" &amp;LightSpec[DiagNo] &amp; ")", "")</f>
        <v>Garden (C4)</v>
      </c>
      <c r="K3" t="str" cm="1">
        <f t="array" ref="K3">_xlfn.XLOOKUP(_xlfn.XLOOKUP(Shelly[[#This Row],[Code]]&amp; Shelly[[#Headers],[O2]], LightSpec[From],LightSpec[Room], "No room"), Rooms[Code],Rooms[Room], "Empty") &amp; _xlfn.XLOOKUP(Shelly[[#This Row],[Code]]&amp; Shelly[[#Headers],[O2]], LightSpec[From], " (" &amp;LightSpec[DiagNo] &amp; ")", "")</f>
        <v>Garden (C5)</v>
      </c>
      <c r="L3" t="str" cm="1">
        <f t="array" ref="L3">IF(LEFT(Shelly[[#This Row],[Code]])="D", "NA", _xlfn.XLOOKUP(_xlfn.XLOOKUP(Shelly[[#This Row],[Code]]&amp; Shelly[[#Headers],[O3]], LightSpec[From],LightSpec[Room], "No room"), Rooms[Code],Rooms[Room], "Empty") &amp; _xlfn.XLOOKUP(Shelly[[#This Row],[Code]]&amp; Shelly[[#Headers],[O3]], LightSpec[From]," (" &amp; LightSpec[DiagNo] &amp; ")", ""))</f>
        <v>Garden (C6)</v>
      </c>
      <c r="M3" t="str" cm="1">
        <f t="array" ref="M3">IF(LEFT(Shelly[[#This Row],[Code]])="D", "NA", _xlfn.XLOOKUP(_xlfn.XLOOKUP(Shelly[[#This Row],[Code]]&amp; Shelly[[#Headers],[O4]], LightSpec[From],LightSpec[Room], "No room"), Rooms[Code],Rooms[Room], "Empty") &amp; _xlfn.XLOOKUP(Shelly[[#This Row],[Code]]&amp; Shelly[[#Headers],[O4]], LightSpec[From]," (" &amp; LightSpec[DiagNo] &amp; ")", ""))</f>
        <v>Garden (C7)</v>
      </c>
      <c r="P3" t="s">
        <v>407</v>
      </c>
    </row>
    <row r="4" spans="1:16" x14ac:dyDescent="0.25">
      <c r="A4" t="s">
        <v>245</v>
      </c>
      <c r="B4" t="str">
        <f>_xlfn.XLOOKUP(MID(Shelly[[#This Row],[Code]],1,1), Device[Code],Device[Device])</f>
        <v>Shelly Pro 4PM</v>
      </c>
      <c r="C4" t="str">
        <f>MID(Shelly[[#This Row],[Code]],2,3)</f>
        <v>3</v>
      </c>
      <c r="D4" t="s">
        <v>635</v>
      </c>
      <c r="E4" t="str">
        <f>subnetStart&amp;_xlfn.XLOOKUP(Shelly[[#This Row],[Type]],IPConfig[Device],IPConfig[Start])+Shelly[[#This Row],[No]]-1</f>
        <v>192.168.10.53</v>
      </c>
      <c r="F4" t="str" cm="1">
        <f t="array" ref="F4">_xlfn.LET(
   _xlpm.group, Shelly[[#This Row],[Code]],
   _xlpm.matches, _xlfn._xlws.FILTER(LightSpec[S1], LEFT(LightSpec[From], LEN(_xlpm.group)) = _xlpm.group),
   IFERROR(
     INDEX(_xlpm.matches, MATCH(TRUE, _xlpm.matches&lt;&gt;"", 0)),
     ""
   )
)</f>
        <v>Master Bed (PIR R1)</v>
      </c>
      <c r="G4" t="str" cm="1">
        <f t="array" ref="G4">_xlfn.LET(
   _xlpm.group, Shelly[[#This Row],[Code]],
   _xlpm.matches, _xlfn._xlws.FILTER(LightSpec[S2], LEFT(LightSpec[From], LEN(_xlpm.group)) = _xlpm.group),
   IFERROR(
     INDEX(_xlpm.matches, MATCH(TRUE, _xlpm.matches&lt;&gt;"", 0)),
     ""
   )
)</f>
        <v/>
      </c>
      <c r="H4" t="str" cm="1">
        <f t="array" ref="H4">_xlfn.LET(
   _xlpm.group, Shelly[[#This Row],[Code]],
   _xlpm.matches, _xlfn._xlws.FILTER(LightSpec[S3], LEFT(LightSpec[From], LEN(_xlpm.group)) = _xlpm.group),
   IFERROR(
     INDEX(_xlpm.matches, MATCH(TRUE, _xlpm.matches&lt;&gt;"", 0)),
     ""
   )
)</f>
        <v/>
      </c>
      <c r="I4" t="str" cm="1">
        <f t="array" ref="I4">_xlfn.LET(
   _xlpm.group, Shelly[[#This Row],[Code]],
   _xlpm.matches, _xlfn._xlws.FILTER(LightSpec[S4], LEFT(LightSpec[From], LEN(_xlpm.group)) = _xlpm.group),
   IFERROR(
     INDEX(_xlpm.matches, MATCH(TRUE, _xlpm.matches&lt;&gt;"", 0)),
     ""
   )
)</f>
        <v/>
      </c>
      <c r="J4" t="str" cm="1">
        <f t="array" ref="J4">_xlfn.XLOOKUP(_xlfn.XLOOKUP(Shelly[[#This Row],[Code]]&amp; Shelly[[#Headers],[O1]], LightSpec[From],LightSpec[Room], "No room"), Rooms[Code],Rooms[Room], "Empty") &amp; _xlfn.XLOOKUP(Shelly[[#This Row],[Code]]&amp; Shelly[[#Headers],[O1]], LightSpec[From], " (" &amp;LightSpec[DiagNo] &amp; ")", "")</f>
        <v>Garden (C8)</v>
      </c>
      <c r="K4" t="str" cm="1">
        <f t="array" ref="K4">_xlfn.XLOOKUP(_xlfn.XLOOKUP(Shelly[[#This Row],[Code]]&amp; Shelly[[#Headers],[O2]], LightSpec[From],LightSpec[Room], "No room"), Rooms[Code],Rooms[Room], "Empty") &amp; _xlfn.XLOOKUP(Shelly[[#This Row],[Code]]&amp; Shelly[[#Headers],[O2]], LightSpec[From], " (" &amp;LightSpec[DiagNo] &amp; ")", "")</f>
        <v>Garden (C9)</v>
      </c>
      <c r="L4" t="str" cm="1">
        <f t="array" ref="L4">IF(LEFT(Shelly[[#This Row],[Code]])="D", "NA", _xlfn.XLOOKUP(_xlfn.XLOOKUP(Shelly[[#This Row],[Code]]&amp; Shelly[[#Headers],[O3]], LightSpec[From],LightSpec[Room], "No room"), Rooms[Code],Rooms[Room], "Empty") &amp; _xlfn.XLOOKUP(Shelly[[#This Row],[Code]]&amp; Shelly[[#Headers],[O3]], LightSpec[From]," (" &amp; LightSpec[DiagNo] &amp; ")", ""))</f>
        <v>Garden (C10)</v>
      </c>
      <c r="M4" t="str" cm="1">
        <f t="array" ref="M4">IF(LEFT(Shelly[[#This Row],[Code]])="D", "NA", _xlfn.XLOOKUP(_xlfn.XLOOKUP(Shelly[[#This Row],[Code]]&amp; Shelly[[#Headers],[O4]], LightSpec[From],LightSpec[Room], "No room"), Rooms[Code],Rooms[Room], "Empty") &amp; _xlfn.XLOOKUP(Shelly[[#This Row],[Code]]&amp; Shelly[[#Headers],[O4]], LightSpec[From]," (" &amp; LightSpec[DiagNo] &amp; ")", ""))</f>
        <v>Empty</v>
      </c>
      <c r="P4" t="s">
        <v>408</v>
      </c>
    </row>
    <row r="5" spans="1:16" x14ac:dyDescent="0.25">
      <c r="A5" s="1" t="s">
        <v>294</v>
      </c>
      <c r="B5" s="1" t="str">
        <f>_xlfn.XLOOKUP(MID(Shelly[[#This Row],[Code]],1,1), Device[Code],Device[Device])</f>
        <v>Shelly Pro 4PM</v>
      </c>
      <c r="C5" s="1" t="str">
        <f>MID(Shelly[[#This Row],[Code]],2,3)</f>
        <v>4</v>
      </c>
      <c r="D5" s="1" t="s">
        <v>636</v>
      </c>
      <c r="E5" s="1" t="str">
        <f>subnetStart&amp;_xlfn.XLOOKUP(Shelly[[#This Row],[Type]],IPConfig[Device],IPConfig[Start])+Shelly[[#This Row],[No]]-1</f>
        <v>192.168.10.54</v>
      </c>
      <c r="F5" s="1" t="str" cm="1">
        <f t="array" ref="F5">_xlfn.LET(
   _xlpm.group, Shelly[[#This Row],[Code]],
   _xlpm.matches, _xlfn._xlws.FILTER(LightSpec[S1], LEFT(LightSpec[From], LEN(_xlpm.group)) = _xlpm.group),
   IFERROR(
     INDEX(_xlpm.matches, MATCH(TRUE, _xlpm.matches&lt;&gt;"", 0)),
     ""
   )
)</f>
        <v/>
      </c>
      <c r="G5" s="1" t="str" cm="1">
        <f t="array" ref="G5">_xlfn.LET(
   _xlpm.group, Shelly[[#This Row],[Code]],
   _xlpm.matches, _xlfn._xlws.FILTER(LightSpec[S2], LEFT(LightSpec[From], LEN(_xlpm.group)) = _xlpm.group),
   IFERROR(
     INDEX(_xlpm.matches, MATCH(TRUE, _xlpm.matches&lt;&gt;"", 0)),
     ""
   )
)</f>
        <v/>
      </c>
      <c r="H5" s="1" t="str" cm="1">
        <f t="array" ref="H5">_xlfn.LET(
   _xlpm.group, Shelly[[#This Row],[Code]],
   _xlpm.matches, _xlfn._xlws.FILTER(LightSpec[S3], LEFT(LightSpec[From], LEN(_xlpm.group)) = _xlpm.group),
   IFERROR(
     INDEX(_xlpm.matches, MATCH(TRUE, _xlpm.matches&lt;&gt;"", 0)),
     ""
   )
)</f>
        <v/>
      </c>
      <c r="I5" s="1" t="str" cm="1">
        <f t="array" ref="I5">_xlfn.LET(
   _xlpm.group, Shelly[[#This Row],[Code]],
   _xlpm.matches, _xlfn._xlws.FILTER(LightSpec[S4], LEFT(LightSpec[From], LEN(_xlpm.group)) = _xlpm.group),
   IFERROR(
     INDEX(_xlpm.matches, MATCH(TRUE, _xlpm.matches&lt;&gt;"", 0)),
     ""
   )
)</f>
        <v/>
      </c>
      <c r="J5" s="1" t="str" cm="1">
        <f t="array" ref="J5">_xlfn.XLOOKUP(_xlfn.XLOOKUP(Shelly[[#This Row],[Code]]&amp; Shelly[[#Headers],[O1]], LightSpec[From],LightSpec[Room], "No room"), Rooms[Code],Rooms[Room], "Empty") &amp; _xlfn.XLOOKUP(Shelly[[#This Row],[Code]]&amp; Shelly[[#Headers],[O1]], LightSpec[From], " (" &amp;LightSpec[DiagNo] &amp; ")", "")</f>
        <v>Dining Kitchen (C7)</v>
      </c>
      <c r="K5" s="1" t="str" cm="1">
        <f t="array" ref="K5">_xlfn.XLOOKUP(_xlfn.XLOOKUP(Shelly[[#This Row],[Code]]&amp; Shelly[[#Headers],[O2]], LightSpec[From],LightSpec[Room], "No room"), Rooms[Code],Rooms[Room], "Empty") &amp; _xlfn.XLOOKUP(Shelly[[#This Row],[Code]]&amp; Shelly[[#Headers],[O2]], LightSpec[From], " (" &amp;LightSpec[DiagNo] &amp; ")", "")</f>
        <v>WC/Wet room (C2)</v>
      </c>
      <c r="L5" s="1" t="str" cm="1">
        <f t="array" ref="L5">IF(LEFT(Shelly[[#This Row],[Code]])="D", "NA", _xlfn.XLOOKUP(_xlfn.XLOOKUP(Shelly[[#This Row],[Code]]&amp; Shelly[[#Headers],[O3]], LightSpec[From],LightSpec[Room], "No room"), Rooms[Code],Rooms[Room], "Empty") &amp; _xlfn.XLOOKUP(Shelly[[#This Row],[Code]]&amp; Shelly[[#Headers],[O3]], LightSpec[From]," (" &amp; LightSpec[DiagNo] &amp; ")", ""))</f>
        <v>WC/Wet room (C3)</v>
      </c>
      <c r="M5" s="1" t="str" cm="1">
        <f t="array" ref="M5">IF(LEFT(Shelly[[#This Row],[Code]])="D", "NA", _xlfn.XLOOKUP(_xlfn.XLOOKUP(Shelly[[#This Row],[Code]]&amp; Shelly[[#Headers],[O4]], LightSpec[From],LightSpec[Room], "No room"), Rooms[Code],Rooms[Room], "Empty") &amp; _xlfn.XLOOKUP(Shelly[[#This Row],[Code]]&amp; Shelly[[#Headers],[O4]], LightSpec[From]," (" &amp; LightSpec[DiagNo] &amp; ")", ""))</f>
        <v>Empty</v>
      </c>
    </row>
    <row r="6" spans="1:16" x14ac:dyDescent="0.25">
      <c r="A6" s="1" t="s">
        <v>295</v>
      </c>
      <c r="B6" s="1" t="str">
        <f>_xlfn.XLOOKUP(MID(Shelly[[#This Row],[Code]],1,1), Device[Code],Device[Device])</f>
        <v>Shelly Pro 4PM</v>
      </c>
      <c r="C6" s="1" t="str">
        <f>MID(Shelly[[#This Row],[Code]],2,3)</f>
        <v>5</v>
      </c>
      <c r="D6" s="1" t="s">
        <v>637</v>
      </c>
      <c r="E6" s="1" t="str">
        <f>subnetStart&amp;_xlfn.XLOOKUP(Shelly[[#This Row],[Type]],IPConfig[Device],IPConfig[Start])+Shelly[[#This Row],[No]]-1</f>
        <v>192.168.10.55</v>
      </c>
      <c r="F6" s="1" t="str" cm="1">
        <f t="array" ref="F6">_xlfn.LET(
   _xlpm.group, Shelly[[#This Row],[Code]],
   _xlpm.matches, _xlfn._xlws.FILTER(LightSpec[S1], LEFT(LightSpec[From], LEN(_xlpm.group)) = _xlpm.group),
   IFERROR(
     INDEX(_xlpm.matches, MATCH(TRUE, _xlpm.matches&lt;&gt;"", 0)),
     ""
   )
)</f>
        <v/>
      </c>
      <c r="G6" s="1" t="str" cm="1">
        <f t="array" ref="G6">_xlfn.LET(
   _xlpm.group, Shelly[[#This Row],[Code]],
   _xlpm.matches, _xlfn._xlws.FILTER(LightSpec[S2], LEFT(LightSpec[From], LEN(_xlpm.group)) = _xlpm.group),
   IFERROR(
     INDEX(_xlpm.matches, MATCH(TRUE, _xlpm.matches&lt;&gt;"", 0)),
     ""
   )
)</f>
        <v/>
      </c>
      <c r="H6" s="1" t="str" cm="1">
        <f t="array" ref="H6">_xlfn.LET(
   _xlpm.group, Shelly[[#This Row],[Code]],
   _xlpm.matches, _xlfn._xlws.FILTER(LightSpec[S3], LEFT(LightSpec[From], LEN(_xlpm.group)) = _xlpm.group),
   IFERROR(
     INDEX(_xlpm.matches, MATCH(TRUE, _xlpm.matches&lt;&gt;"", 0)),
     ""
   )
)</f>
        <v/>
      </c>
      <c r="I6" s="1" t="str" cm="1">
        <f t="array" ref="I6">_xlfn.LET(
   _xlpm.group, Shelly[[#This Row],[Code]],
   _xlpm.matches, _xlfn._xlws.FILTER(LightSpec[S4], LEFT(LightSpec[From], LEN(_xlpm.group)) = _xlpm.group),
   IFERROR(
     INDEX(_xlpm.matches, MATCH(TRUE, _xlpm.matches&lt;&gt;"", 0)),
     ""
   )
)</f>
        <v/>
      </c>
      <c r="J6" s="1" t="str" cm="1">
        <f t="array" ref="J6">_xlfn.XLOOKUP(_xlfn.XLOOKUP(Shelly[[#This Row],[Code]]&amp; Shelly[[#Headers],[O1]], LightSpec[From],LightSpec[Room], "No room"), Rooms[Code],Rooms[Room], "Empty") &amp; _xlfn.XLOOKUP(Shelly[[#This Row],[Code]]&amp; Shelly[[#Headers],[O1]], LightSpec[From], " (" &amp;LightSpec[DiagNo] &amp; ")", "")</f>
        <v>Ensuite 3 (C2)</v>
      </c>
      <c r="K6" s="1" t="str" cm="1">
        <f t="array" ref="K6">_xlfn.XLOOKUP(_xlfn.XLOOKUP(Shelly[[#This Row],[Code]]&amp; Shelly[[#Headers],[O2]], LightSpec[From],LightSpec[Room], "No room"), Rooms[Code],Rooms[Room], "Empty") &amp; _xlfn.XLOOKUP(Shelly[[#This Row],[Code]]&amp; Shelly[[#Headers],[O2]], LightSpec[From], " (" &amp;LightSpec[DiagNo] &amp; ")", "")</f>
        <v>Ensuite 3 (C3)</v>
      </c>
      <c r="L6" s="1" t="str" cm="1">
        <f t="array" ref="L6">IF(LEFT(Shelly[[#This Row],[Code]])="D", "NA", _xlfn.XLOOKUP(_xlfn.XLOOKUP(Shelly[[#This Row],[Code]]&amp; Shelly[[#Headers],[O3]], LightSpec[From],LightSpec[Room], "No room"), Rooms[Code],Rooms[Room], "Empty") &amp; _xlfn.XLOOKUP(Shelly[[#This Row],[Code]]&amp; Shelly[[#Headers],[O3]], LightSpec[From]," (" &amp; LightSpec[DiagNo] &amp; ")", ""))</f>
        <v>Empty</v>
      </c>
      <c r="M6" s="1" t="str" cm="1">
        <f t="array" ref="M6">IF(LEFT(Shelly[[#This Row],[Code]])="D", "NA", _xlfn.XLOOKUP(_xlfn.XLOOKUP(Shelly[[#This Row],[Code]]&amp; Shelly[[#Headers],[O4]], LightSpec[From],LightSpec[Room], "No room"), Rooms[Code],Rooms[Room], "Empty") &amp; _xlfn.XLOOKUP(Shelly[[#This Row],[Code]]&amp; Shelly[[#Headers],[O4]], LightSpec[From]," (" &amp; LightSpec[DiagNo] &amp; ")", ""))</f>
        <v>Empty</v>
      </c>
    </row>
    <row r="7" spans="1:16" x14ac:dyDescent="0.25">
      <c r="A7" s="1" t="s">
        <v>394</v>
      </c>
      <c r="B7" s="1" t="str">
        <f>_xlfn.XLOOKUP(MID(Shelly[[#This Row],[Code]],1,1), Device[Code],Device[Device])</f>
        <v>Shelly Pro 4PM</v>
      </c>
      <c r="C7" s="1" t="str">
        <f>MID(Shelly[[#This Row],[Code]],2,3)</f>
        <v>6</v>
      </c>
      <c r="D7" s="1" t="s">
        <v>638</v>
      </c>
      <c r="E7" s="1" t="str">
        <f>subnetStart&amp;_xlfn.XLOOKUP(Shelly[[#This Row],[Type]],IPConfig[Device],IPConfig[Start])+Shelly[[#This Row],[No]]-1</f>
        <v>192.168.10.56</v>
      </c>
      <c r="F7" s="1" t="str" cm="1">
        <f t="array" ref="F7">_xlfn.LET(
   _xlpm.group, Shelly[[#This Row],[Code]],
   _xlpm.matches, _xlfn._xlws.FILTER(LightSpec[S1], LEFT(LightSpec[From], LEN(_xlpm.group)) = _xlpm.group),
   IFERROR(
     INDEX(_xlpm.matches, MATCH(TRUE, _xlpm.matches&lt;&gt;"", 0)),
     ""
   )
)</f>
        <v/>
      </c>
      <c r="G7" s="1" t="str" cm="1">
        <f t="array" ref="G7">_xlfn.LET(
   _xlpm.group, Shelly[[#This Row],[Code]],
   _xlpm.matches, _xlfn._xlws.FILTER(LightSpec[S2], LEFT(LightSpec[From], LEN(_xlpm.group)) = _xlpm.group),
   IFERROR(
     INDEX(_xlpm.matches, MATCH(TRUE, _xlpm.matches&lt;&gt;"", 0)),
     ""
   )
)</f>
        <v/>
      </c>
      <c r="H7" s="1" t="str" cm="1">
        <f t="array" ref="H7">_xlfn.LET(
   _xlpm.group, Shelly[[#This Row],[Code]],
   _xlpm.matches, _xlfn._xlws.FILTER(LightSpec[S3], LEFT(LightSpec[From], LEN(_xlpm.group)) = _xlpm.group),
   IFERROR(
     INDEX(_xlpm.matches, MATCH(TRUE, _xlpm.matches&lt;&gt;"", 0)),
     ""
   )
)</f>
        <v/>
      </c>
      <c r="I7" s="1" t="str" cm="1">
        <f t="array" ref="I7">_xlfn.LET(
   _xlpm.group, Shelly[[#This Row],[Code]],
   _xlpm.matches, _xlfn._xlws.FILTER(LightSpec[S4], LEFT(LightSpec[From], LEN(_xlpm.group)) = _xlpm.group),
   IFERROR(
     INDEX(_xlpm.matches, MATCH(TRUE, _xlpm.matches&lt;&gt;"", 0)),
     ""
   )
)</f>
        <v/>
      </c>
      <c r="J7" s="1" t="str" cm="1">
        <f t="array" ref="J7">_xlfn.XLOOKUP(_xlfn.XLOOKUP(Shelly[[#This Row],[Code]]&amp; Shelly[[#Headers],[O1]], LightSpec[From],LightSpec[Room], "No room"), Rooms[Code],Rooms[Room], "Empty") &amp; _xlfn.XLOOKUP(Shelly[[#This Row],[Code]]&amp; Shelly[[#Headers],[O1]], LightSpec[From], " (" &amp;LightSpec[DiagNo] &amp; ")", "")</f>
        <v>Ensuite 4 (C2)</v>
      </c>
      <c r="K7" s="1" t="str" cm="1">
        <f t="array" ref="K7">_xlfn.XLOOKUP(_xlfn.XLOOKUP(Shelly[[#This Row],[Code]]&amp; Shelly[[#Headers],[O2]], LightSpec[From],LightSpec[Room], "No room"), Rooms[Code],Rooms[Room], "Empty") &amp; _xlfn.XLOOKUP(Shelly[[#This Row],[Code]]&amp; Shelly[[#Headers],[O2]], LightSpec[From], " (" &amp;LightSpec[DiagNo] &amp; ")", "")</f>
        <v>Ensuite 4 (C3)</v>
      </c>
      <c r="L7" s="1" t="str" cm="1">
        <f t="array" ref="L7">IF(LEFT(Shelly[[#This Row],[Code]])="D", "NA", _xlfn.XLOOKUP(_xlfn.XLOOKUP(Shelly[[#This Row],[Code]]&amp; Shelly[[#Headers],[O3]], LightSpec[From],LightSpec[Room], "No room"), Rooms[Code],Rooms[Room], "Empty") &amp; _xlfn.XLOOKUP(Shelly[[#This Row],[Code]]&amp; Shelly[[#Headers],[O3]], LightSpec[From]," (" &amp; LightSpec[DiagNo] &amp; ")", ""))</f>
        <v>Ensuite 4 (C4)</v>
      </c>
      <c r="M7" s="1" t="str" cm="1">
        <f t="array" ref="M7">IF(LEFT(Shelly[[#This Row],[Code]])="D", "NA", _xlfn.XLOOKUP(_xlfn.XLOOKUP(Shelly[[#This Row],[Code]]&amp; Shelly[[#Headers],[O4]], LightSpec[From],LightSpec[Room], "No room"), Rooms[Code],Rooms[Room], "Empty") &amp; _xlfn.XLOOKUP(Shelly[[#This Row],[Code]]&amp; Shelly[[#Headers],[O4]], LightSpec[From]," (" &amp; LightSpec[DiagNo] &amp; ")", ""))</f>
        <v>Empty</v>
      </c>
    </row>
    <row r="8" spans="1:16" x14ac:dyDescent="0.25">
      <c r="A8" s="1" t="s">
        <v>266</v>
      </c>
      <c r="B8" s="1" t="str">
        <f>_xlfn.XLOOKUP(MID(Shelly[[#This Row],[Code]],1,1), Device[Code],Device[Device])</f>
        <v>Shelly Pro Dimmer D2PM</v>
      </c>
      <c r="C8" s="1" t="str">
        <f>MID(Shelly[[#This Row],[Code]],2,3)</f>
        <v>1</v>
      </c>
      <c r="D8" s="1" t="s">
        <v>470</v>
      </c>
      <c r="E8" s="1" t="str">
        <f>subnetStart&amp;_xlfn.XLOOKUP(Shelly[[#This Row],[Type]],IPConfig[Device],IPConfig[Start])+Shelly[[#This Row],[No]]-1</f>
        <v>192.168.10.11</v>
      </c>
      <c r="F8" s="1" t="str" cm="1">
        <f t="array" ref="F8">_xlfn.LET(
   _xlpm.group, Shelly[[#This Row],[Code]],
   _xlpm.matches, _xlfn._xlws.FILTER(LightSpec[S1], LEFT(LightSpec[From], LEN(_xlpm.group)) = _xlpm.group),
   IFERROR(
     INDEX(_xlpm.matches, MATCH(TRUE, _xlpm.matches&lt;&gt;"", 0)),
     ""
   )
)</f>
        <v>Entrance Hall (Switch S1)</v>
      </c>
      <c r="G8" s="1" t="str" cm="1">
        <f t="array" ref="G8">_xlfn.LET(
   _xlpm.group, Shelly[[#This Row],[Code]],
   _xlpm.matches, _xlfn._xlws.FILTER(LightSpec[S2], LEFT(LightSpec[From], LEN(_xlpm.group)) = _xlpm.group),
   IFERROR(
     INDEX(_xlpm.matches, MATCH(TRUE, _xlpm.matches&lt;&gt;"", 0)),
     ""
   )
)</f>
        <v>Entrance Hall (Switch S1)</v>
      </c>
      <c r="H8" s="1" t="str" cm="1">
        <f t="array" ref="H8">_xlfn.LET(
   _xlpm.group, Shelly[[#This Row],[Code]],
   _xlpm.matches, _xlfn._xlws.FILTER(LightSpec[S3], LEFT(LightSpec[From], LEN(_xlpm.group)) = _xlpm.group),
   IFERROR(
     INDEX(_xlpm.matches, MATCH(TRUE, _xlpm.matches&lt;&gt;"", 0)),
     ""
   )
)</f>
        <v>Entrance Hall (Switch S1)</v>
      </c>
      <c r="I8" s="1" t="str" cm="1">
        <f t="array" ref="I8">_xlfn.LET(
   _xlpm.group, Shelly[[#This Row],[Code]],
   _xlpm.matches, _xlfn._xlws.FILTER(LightSpec[S4], LEFT(LightSpec[From], LEN(_xlpm.group)) = _xlpm.group),
   IFERROR(
     INDEX(_xlpm.matches, MATCH(TRUE, _xlpm.matches&lt;&gt;"", 0)),
     ""
   )
)</f>
        <v>Entrance Hall (Switch S1)</v>
      </c>
      <c r="J8" s="1" t="str" cm="1">
        <f t="array" ref="J8">_xlfn.XLOOKUP(_xlfn.XLOOKUP(Shelly[[#This Row],[Code]]&amp; Shelly[[#Headers],[O1]], LightSpec[From],LightSpec[Room], "No room"), Rooms[Code],Rooms[Room], "Empty") &amp; _xlfn.XLOOKUP(Shelly[[#This Row],[Code]]&amp; Shelly[[#Headers],[O1]], LightSpec[From], " (" &amp;LightSpec[DiagNo] &amp; ")", "")</f>
        <v>Entrance Hall (C1)</v>
      </c>
      <c r="K8" s="1" t="str" cm="1">
        <f t="array" ref="K8">_xlfn.XLOOKUP(_xlfn.XLOOKUP(Shelly[[#This Row],[Code]]&amp; Shelly[[#Headers],[O2]], LightSpec[From],LightSpec[Room], "No room"), Rooms[Code],Rooms[Room], "Empty") &amp; _xlfn.XLOOKUP(Shelly[[#This Row],[Code]]&amp; Shelly[[#Headers],[O2]], LightSpec[From], " (" &amp;LightSpec[DiagNo] &amp; ")", "")</f>
        <v>Entrance Hall (C2)</v>
      </c>
      <c r="L8" s="1" t="str" cm="1">
        <f t="array" ref="L8">IF(LEFT(Shelly[[#This Row],[Code]])="D", "NA", _xlfn.XLOOKUP(_xlfn.XLOOKUP(Shelly[[#This Row],[Code]]&amp; Shelly[[#Headers],[O3]], LightSpec[From],LightSpec[Room], "No room"), Rooms[Code],Rooms[Room], "Empty") &amp; _xlfn.XLOOKUP(Shelly[[#This Row],[Code]]&amp; Shelly[[#Headers],[O3]], LightSpec[From]," (" &amp; LightSpec[DiagNo] &amp; ")", ""))</f>
        <v>NA</v>
      </c>
      <c r="M8" s="1" t="str" cm="1">
        <f t="array" ref="M8">IF(LEFT(Shelly[[#This Row],[Code]])="D", "NA", _xlfn.XLOOKUP(_xlfn.XLOOKUP(Shelly[[#This Row],[Code]]&amp; Shelly[[#Headers],[O4]], LightSpec[From],LightSpec[Room], "No room"), Rooms[Code],Rooms[Room], "Empty") &amp; _xlfn.XLOOKUP(Shelly[[#This Row],[Code]]&amp; Shelly[[#Headers],[O4]], LightSpec[From]," (" &amp; LightSpec[DiagNo] &amp; ")", ""))</f>
        <v>NA</v>
      </c>
      <c r="P8" t="s">
        <v>413</v>
      </c>
    </row>
    <row r="9" spans="1:16" x14ac:dyDescent="0.25">
      <c r="A9" s="1" t="s">
        <v>309</v>
      </c>
      <c r="B9" s="1" t="str">
        <f>_xlfn.XLOOKUP(MID(Shelly[[#This Row],[Code]],1,1), Device[Code],Device[Device])</f>
        <v>Shelly Pro Dimmer D2PM</v>
      </c>
      <c r="C9" s="1" t="str">
        <f>MID(Shelly[[#This Row],[Code]],2,3)</f>
        <v>2</v>
      </c>
      <c r="D9" s="1" t="s">
        <v>586</v>
      </c>
      <c r="E9" s="1" t="str">
        <f>subnetStart&amp;_xlfn.XLOOKUP(Shelly[[#This Row],[Type]],IPConfig[Device],IPConfig[Start])+Shelly[[#This Row],[No]]-1</f>
        <v>192.168.10.12</v>
      </c>
      <c r="F9" s="1" t="str" cm="1">
        <f t="array" ref="F9">_xlfn.LET(
   _xlpm.group, Shelly[[#This Row],[Code]],
   _xlpm.matches, _xlfn._xlws.FILTER(LightSpec[S1], LEFT(LightSpec[From], LEN(_xlpm.group)) = _xlpm.group),
   IFERROR(
     INDEX(_xlpm.matches, MATCH(TRUE, _xlpm.matches&lt;&gt;"", 0)),
     ""
   )
)</f>
        <v>Entrance Hall (Switch S2)</v>
      </c>
      <c r="G9" s="1" t="str" cm="1">
        <f t="array" ref="G9">_xlfn.LET(
   _xlpm.group, Shelly[[#This Row],[Code]],
   _xlpm.matches, _xlfn._xlws.FILTER(LightSpec[S2], LEFT(LightSpec[From], LEN(_xlpm.group)) = _xlpm.group),
   IFERROR(
     INDEX(_xlpm.matches, MATCH(TRUE, _xlpm.matches&lt;&gt;"", 0)),
     ""
   )
)</f>
        <v>Entrance Hall (Switch S2)</v>
      </c>
      <c r="H9" s="1" t="str" cm="1">
        <f t="array" ref="H9">_xlfn.LET(
   _xlpm.group, Shelly[[#This Row],[Code]],
   _xlpm.matches, _xlfn._xlws.FILTER(LightSpec[S3], LEFT(LightSpec[From], LEN(_xlpm.group)) = _xlpm.group),
   IFERROR(
     INDEX(_xlpm.matches, MATCH(TRUE, _xlpm.matches&lt;&gt;"", 0)),
     ""
   )
)</f>
        <v>Entrance Landing (Switch S3)</v>
      </c>
      <c r="I9" s="1" t="str" cm="1">
        <f t="array" ref="I9">_xlfn.LET(
   _xlpm.group, Shelly[[#This Row],[Code]],
   _xlpm.matches, _xlfn._xlws.FILTER(LightSpec[S4], LEFT(LightSpec[From], LEN(_xlpm.group)) = _xlpm.group),
   IFERROR(
     INDEX(_xlpm.matches, MATCH(TRUE, _xlpm.matches&lt;&gt;"", 0)),
     ""
   )
)</f>
        <v>Entrance Landing (Switch S3)</v>
      </c>
      <c r="J9" s="1" t="str" cm="1">
        <f t="array" ref="J9">_xlfn.XLOOKUP(_xlfn.XLOOKUP(Shelly[[#This Row],[Code]]&amp; Shelly[[#Headers],[O1]], LightSpec[From],LightSpec[Room], "No room"), Rooms[Code],Rooms[Room], "Empty") &amp; _xlfn.XLOOKUP(Shelly[[#This Row],[Code]]&amp; Shelly[[#Headers],[O1]], LightSpec[From], " (" &amp;LightSpec[DiagNo] &amp; ")", "")</f>
        <v>Entrance Hall (C3)</v>
      </c>
      <c r="K9" s="1" t="str" cm="1">
        <f t="array" ref="K9">_xlfn.XLOOKUP(_xlfn.XLOOKUP(Shelly[[#This Row],[Code]]&amp; Shelly[[#Headers],[O2]], LightSpec[From],LightSpec[Room], "No room"), Rooms[Code],Rooms[Room], "Empty") &amp; _xlfn.XLOOKUP(Shelly[[#This Row],[Code]]&amp; Shelly[[#Headers],[O2]], LightSpec[From], " (" &amp;LightSpec[DiagNo] &amp; ")", "")</f>
        <v>Entrance Hall (C4)</v>
      </c>
      <c r="L9" s="1" t="str" cm="1">
        <f t="array" ref="L9">IF(LEFT(Shelly[[#This Row],[Code]])="D", "NA", _xlfn.XLOOKUP(_xlfn.XLOOKUP(Shelly[[#This Row],[Code]]&amp; Shelly[[#Headers],[O3]], LightSpec[From],LightSpec[Room], "No room"), Rooms[Code],Rooms[Room], "Empty") &amp; _xlfn.XLOOKUP(Shelly[[#This Row],[Code]]&amp; Shelly[[#Headers],[O3]], LightSpec[From]," (" &amp; LightSpec[DiagNo] &amp; ")", ""))</f>
        <v>NA</v>
      </c>
      <c r="M9" s="1" t="str" cm="1">
        <f t="array" ref="M9">IF(LEFT(Shelly[[#This Row],[Code]])="D", "NA", _xlfn.XLOOKUP(_xlfn.XLOOKUP(Shelly[[#This Row],[Code]]&amp; Shelly[[#Headers],[O4]], LightSpec[From],LightSpec[Room], "No room"), Rooms[Code],Rooms[Room], "Empty") &amp; _xlfn.XLOOKUP(Shelly[[#This Row],[Code]]&amp; Shelly[[#Headers],[O4]], LightSpec[From]," (" &amp; LightSpec[DiagNo] &amp; ")", ""))</f>
        <v>NA</v>
      </c>
      <c r="P9" t="s">
        <v>414</v>
      </c>
    </row>
    <row r="10" spans="1:16" x14ac:dyDescent="0.25">
      <c r="A10" s="1" t="s">
        <v>310</v>
      </c>
      <c r="B10" s="1" t="str">
        <f>_xlfn.XLOOKUP(MID(Shelly[[#This Row],[Code]],1,1), Device[Code],Device[Device])</f>
        <v>Shelly Pro Dimmer D2PM</v>
      </c>
      <c r="C10" s="1" t="str">
        <f>MID(Shelly[[#This Row],[Code]],2,3)</f>
        <v>3</v>
      </c>
      <c r="D10" s="1" t="s">
        <v>604</v>
      </c>
      <c r="E10" s="1" t="str">
        <f>subnetStart&amp;_xlfn.XLOOKUP(Shelly[[#This Row],[Type]],IPConfig[Device],IPConfig[Start])+Shelly[[#This Row],[No]]-1</f>
        <v>192.168.10.13</v>
      </c>
      <c r="F10" s="1" t="str" cm="1">
        <f t="array" ref="F10">_xlfn.LET(
   _xlpm.group, Shelly[[#This Row],[Code]],
   _xlpm.matches, _xlfn._xlws.FILTER(LightSpec[S1], LEFT(LightSpec[From], LEN(_xlpm.group)) = _xlpm.group),
   IFERROR(
     INDEX(_xlpm.matches, MATCH(TRUE, _xlpm.matches&lt;&gt;"", 0)),
     ""
   )
)</f>
        <v>Entrance Landing (Switch S4)</v>
      </c>
      <c r="G10" s="1" t="str" cm="1">
        <f t="array" ref="G10">_xlfn.LET(
   _xlpm.group, Shelly[[#This Row],[Code]],
   _xlpm.matches, _xlfn._xlws.FILTER(LightSpec[S2], LEFT(LightSpec[From], LEN(_xlpm.group)) = _xlpm.group),
   IFERROR(
     INDEX(_xlpm.matches, MATCH(TRUE, _xlpm.matches&lt;&gt;"", 0)),
     ""
   )
)</f>
        <v>Entrance Landing (Switch S4)</v>
      </c>
      <c r="H10" s="1" t="str" cm="1">
        <f t="array" ref="H10">_xlfn.LET(
   _xlpm.group, Shelly[[#This Row],[Code]],
   _xlpm.matches, _xlfn._xlws.FILTER(LightSpec[S3], LEFT(LightSpec[From], LEN(_xlpm.group)) = _xlpm.group),
   IFERROR(
     INDEX(_xlpm.matches, MATCH(TRUE, _xlpm.matches&lt;&gt;"", 0)),
     ""
   )
)</f>
        <v>Entrance Landing (Switch S4)</v>
      </c>
      <c r="I10" s="1" t="str" cm="1">
        <f t="array" ref="I10">_xlfn.LET(
   _xlpm.group, Shelly[[#This Row],[Code]],
   _xlpm.matches, _xlfn._xlws.FILTER(LightSpec[S4], LEFT(LightSpec[From], LEN(_xlpm.group)) = _xlpm.group),
   IFERROR(
     INDEX(_xlpm.matches, MATCH(TRUE, _xlpm.matches&lt;&gt;"", 0)),
     ""
   )
)</f>
        <v>Entrance Landing (Switch S4)</v>
      </c>
      <c r="J10" s="1" t="str" cm="1">
        <f t="array" ref="J10">_xlfn.XLOOKUP(_xlfn.XLOOKUP(Shelly[[#This Row],[Code]]&amp; Shelly[[#Headers],[O1]], LightSpec[From],LightSpec[Room], "No room"), Rooms[Code],Rooms[Room], "Empty") &amp; _xlfn.XLOOKUP(Shelly[[#This Row],[Code]]&amp; Shelly[[#Headers],[O1]], LightSpec[From], " (" &amp;LightSpec[DiagNo] &amp; ")", "")</f>
        <v>Entrance Landing (C5)</v>
      </c>
      <c r="K10" s="1" t="str" cm="1">
        <f t="array" ref="K10">_xlfn.XLOOKUP(_xlfn.XLOOKUP(Shelly[[#This Row],[Code]]&amp; Shelly[[#Headers],[O2]], LightSpec[From],LightSpec[Room], "No room"), Rooms[Code],Rooms[Room], "Empty") &amp; _xlfn.XLOOKUP(Shelly[[#This Row],[Code]]&amp; Shelly[[#Headers],[O2]], LightSpec[From], " (" &amp;LightSpec[DiagNo] &amp; ")", "")</f>
        <v>Entrance Landing (C6)</v>
      </c>
      <c r="L10" s="1" t="str" cm="1">
        <f t="array" ref="L10">IF(LEFT(Shelly[[#This Row],[Code]])="D", "NA", _xlfn.XLOOKUP(_xlfn.XLOOKUP(Shelly[[#This Row],[Code]]&amp; Shelly[[#Headers],[O3]], LightSpec[From],LightSpec[Room], "No room"), Rooms[Code],Rooms[Room], "Empty") &amp; _xlfn.XLOOKUP(Shelly[[#This Row],[Code]]&amp; Shelly[[#Headers],[O3]], LightSpec[From]," (" &amp; LightSpec[DiagNo] &amp; ")", ""))</f>
        <v>NA</v>
      </c>
      <c r="M10" s="1" t="str" cm="1">
        <f t="array" ref="M10">IF(LEFT(Shelly[[#This Row],[Code]])="D", "NA", _xlfn.XLOOKUP(_xlfn.XLOOKUP(Shelly[[#This Row],[Code]]&amp; Shelly[[#Headers],[O4]], LightSpec[From],LightSpec[Room], "No room"), Rooms[Code],Rooms[Room], "Empty") &amp; _xlfn.XLOOKUP(Shelly[[#This Row],[Code]]&amp; Shelly[[#Headers],[O4]], LightSpec[From]," (" &amp; LightSpec[DiagNo] &amp; ")", ""))</f>
        <v>NA</v>
      </c>
    </row>
    <row r="11" spans="1:16" x14ac:dyDescent="0.25">
      <c r="A11" s="1" t="s">
        <v>458</v>
      </c>
      <c r="B11" s="1" t="str">
        <f>_xlfn.XLOOKUP(MID(Shelly[[#This Row],[Code]],1,1), Device[Code],Device[Device])</f>
        <v>Shelly Pro Dimmer D2PM</v>
      </c>
      <c r="C11" s="1" t="str">
        <f>MID(Shelly[[#This Row],[Code]],2,3)</f>
        <v>4</v>
      </c>
      <c r="D11" s="1" t="s">
        <v>605</v>
      </c>
      <c r="E11" s="1" t="str">
        <f>subnetStart&amp;_xlfn.XLOOKUP(Shelly[[#This Row],[Type]],IPConfig[Device],IPConfig[Start])+Shelly[[#This Row],[No]]-1</f>
        <v>192.168.10.14</v>
      </c>
      <c r="F11" s="1" t="str" cm="1">
        <f t="array" ref="F11">_xlfn.LET(
   _xlpm.group, Shelly[[#This Row],[Code]],
   _xlpm.matches, _xlfn._xlws.FILTER(LightSpec[S1], LEFT(LightSpec[From], LEN(_xlpm.group)) = _xlpm.group),
   IFERROR(
     INDEX(_xlpm.matches, MATCH(TRUE, _xlpm.matches&lt;&gt;"", 0)),
     ""
   )
)</f>
        <v>Study (Switch S1)</v>
      </c>
      <c r="G11" s="1" t="str" cm="1">
        <f t="array" ref="G11">_xlfn.LET(
   _xlpm.group, Shelly[[#This Row],[Code]],
   _xlpm.matches, _xlfn._xlws.FILTER(LightSpec[S2], LEFT(LightSpec[From], LEN(_xlpm.group)) = _xlpm.group),
   IFERROR(
     INDEX(_xlpm.matches, MATCH(TRUE, _xlpm.matches&lt;&gt;"", 0)),
     ""
   )
)</f>
        <v>Study (Switch S1)</v>
      </c>
      <c r="H11" s="1" t="str" cm="1">
        <f t="array" ref="H11">_xlfn.LET(
   _xlpm.group, Shelly[[#This Row],[Code]],
   _xlpm.matches, _xlfn._xlws.FILTER(LightSpec[S3], LEFT(LightSpec[From], LEN(_xlpm.group)) = _xlpm.group),
   IFERROR(
     INDEX(_xlpm.matches, MATCH(TRUE, _xlpm.matches&lt;&gt;"", 0)),
     ""
   )
)</f>
        <v/>
      </c>
      <c r="I11" s="1" t="str" cm="1">
        <f t="array" ref="I11">_xlfn.LET(
   _xlpm.group, Shelly[[#This Row],[Code]],
   _xlpm.matches, _xlfn._xlws.FILTER(LightSpec[S4], LEFT(LightSpec[From], LEN(_xlpm.group)) = _xlpm.group),
   IFERROR(
     INDEX(_xlpm.matches, MATCH(TRUE, _xlpm.matches&lt;&gt;"", 0)),
     ""
   )
)</f>
        <v/>
      </c>
      <c r="J11" s="1" t="str" cm="1">
        <f t="array" ref="J11">_xlfn.XLOOKUP(_xlfn.XLOOKUP(Shelly[[#This Row],[Code]]&amp; Shelly[[#Headers],[O1]], LightSpec[From],LightSpec[Room], "No room"), Rooms[Code],Rooms[Room], "Empty") &amp; _xlfn.XLOOKUP(Shelly[[#This Row],[Code]]&amp; Shelly[[#Headers],[O1]], LightSpec[From], " (" &amp;LightSpec[DiagNo] &amp; ")", "")</f>
        <v>Study (C1)</v>
      </c>
      <c r="K11" s="1" t="str" cm="1">
        <f t="array" ref="K11">_xlfn.XLOOKUP(_xlfn.XLOOKUP(Shelly[[#This Row],[Code]]&amp; Shelly[[#Headers],[O2]], LightSpec[From],LightSpec[Room], "No room"), Rooms[Code],Rooms[Room], "Empty") &amp; _xlfn.XLOOKUP(Shelly[[#This Row],[Code]]&amp; Shelly[[#Headers],[O2]], LightSpec[From], " (" &amp;LightSpec[DiagNo] &amp; ")", "")</f>
        <v>Study (C2)</v>
      </c>
      <c r="L11" s="1" t="str" cm="1">
        <f t="array" ref="L11">IF(LEFT(Shelly[[#This Row],[Code]])="D", "NA", _xlfn.XLOOKUP(_xlfn.XLOOKUP(Shelly[[#This Row],[Code]]&amp; Shelly[[#Headers],[O3]], LightSpec[From],LightSpec[Room], "No room"), Rooms[Code],Rooms[Room], "Empty") &amp; _xlfn.XLOOKUP(Shelly[[#This Row],[Code]]&amp; Shelly[[#Headers],[O3]], LightSpec[From]," (" &amp; LightSpec[DiagNo] &amp; ")", ""))</f>
        <v>NA</v>
      </c>
      <c r="M11" s="1" t="str" cm="1">
        <f t="array" ref="M11">IF(LEFT(Shelly[[#This Row],[Code]])="D", "NA", _xlfn.XLOOKUP(_xlfn.XLOOKUP(Shelly[[#This Row],[Code]]&amp; Shelly[[#Headers],[O4]], LightSpec[From],LightSpec[Room], "No room"), Rooms[Code],Rooms[Room], "Empty") &amp; _xlfn.XLOOKUP(Shelly[[#This Row],[Code]]&amp; Shelly[[#Headers],[O4]], LightSpec[From]," (" &amp; LightSpec[DiagNo] &amp; ")", ""))</f>
        <v>NA</v>
      </c>
    </row>
    <row r="12" spans="1:16" x14ac:dyDescent="0.25">
      <c r="A12" s="1" t="s">
        <v>459</v>
      </c>
      <c r="B12" s="1" t="str">
        <f>_xlfn.XLOOKUP(MID(Shelly[[#This Row],[Code]],1,1), Device[Code],Device[Device])</f>
        <v>Shelly Pro Dimmer D2PM</v>
      </c>
      <c r="C12" s="1" t="str">
        <f>MID(Shelly[[#This Row],[Code]],2,3)</f>
        <v>5</v>
      </c>
      <c r="D12" s="1" t="s">
        <v>606</v>
      </c>
      <c r="E12" s="1" t="str">
        <f>subnetStart&amp;_xlfn.XLOOKUP(Shelly[[#This Row],[Type]],IPConfig[Device],IPConfig[Start])+Shelly[[#This Row],[No]]-1</f>
        <v>192.168.10.15</v>
      </c>
      <c r="F12" s="1" t="str" cm="1">
        <f t="array" ref="F12">_xlfn.LET(
   _xlpm.group, Shelly[[#This Row],[Code]],
   _xlpm.matches, _xlfn._xlws.FILTER(LightSpec[S1], LEFT(LightSpec[From], LEN(_xlpm.group)) = _xlpm.group),
   IFERROR(
     INDEX(_xlpm.matches, MATCH(TRUE, _xlpm.matches&lt;&gt;"", 0)),
     ""
   )
)</f>
        <v>Lounge (Switch S1)</v>
      </c>
      <c r="G12" s="1" t="str" cm="1">
        <f t="array" ref="G12">_xlfn.LET(
   _xlpm.group, Shelly[[#This Row],[Code]],
   _xlpm.matches, _xlfn._xlws.FILTER(LightSpec[S2], LEFT(LightSpec[From], LEN(_xlpm.group)) = _xlpm.group),
   IFERROR(
     INDEX(_xlpm.matches, MATCH(TRUE, _xlpm.matches&lt;&gt;"", 0)),
     ""
   )
)</f>
        <v>Lounge (Switch S1)</v>
      </c>
      <c r="H12" s="1" t="str" cm="1">
        <f t="array" ref="H12">_xlfn.LET(
   _xlpm.group, Shelly[[#This Row],[Code]],
   _xlpm.matches, _xlfn._xlws.FILTER(LightSpec[S3], LEFT(LightSpec[From], LEN(_xlpm.group)) = _xlpm.group),
   IFERROR(
     INDEX(_xlpm.matches, MATCH(TRUE, _xlpm.matches&lt;&gt;"", 0)),
     ""
   )
)</f>
        <v>Lounge (Switch S1)</v>
      </c>
      <c r="I12" s="1" t="str" cm="1">
        <f t="array" ref="I12">_xlfn.LET(
   _xlpm.group, Shelly[[#This Row],[Code]],
   _xlpm.matches, _xlfn._xlws.FILTER(LightSpec[S4], LEFT(LightSpec[From], LEN(_xlpm.group)) = _xlpm.group),
   IFERROR(
     INDEX(_xlpm.matches, MATCH(TRUE, _xlpm.matches&lt;&gt;"", 0)),
     ""
   )
)</f>
        <v>Lounge (Switch S1)</v>
      </c>
      <c r="J12" s="1" t="str" cm="1">
        <f t="array" ref="J12">_xlfn.XLOOKUP(_xlfn.XLOOKUP(Shelly[[#This Row],[Code]]&amp; Shelly[[#Headers],[O1]], LightSpec[From],LightSpec[Room], "No room"), Rooms[Code],Rooms[Room], "Empty") &amp; _xlfn.XLOOKUP(Shelly[[#This Row],[Code]]&amp; Shelly[[#Headers],[O1]], LightSpec[From], " (" &amp;LightSpec[DiagNo] &amp; ")", "")</f>
        <v>Lounge (C1)</v>
      </c>
      <c r="K12" s="1" t="str" cm="1">
        <f t="array" ref="K12">_xlfn.XLOOKUP(_xlfn.XLOOKUP(Shelly[[#This Row],[Code]]&amp; Shelly[[#Headers],[O2]], LightSpec[From],LightSpec[Room], "No room"), Rooms[Code],Rooms[Room], "Empty") &amp; _xlfn.XLOOKUP(Shelly[[#This Row],[Code]]&amp; Shelly[[#Headers],[O2]], LightSpec[From], " (" &amp;LightSpec[DiagNo] &amp; ")", "")</f>
        <v>Lounge (C2)</v>
      </c>
      <c r="L12" s="1" t="str" cm="1">
        <f t="array" ref="L12">IF(LEFT(Shelly[[#This Row],[Code]])="D", "NA", _xlfn.XLOOKUP(_xlfn.XLOOKUP(Shelly[[#This Row],[Code]]&amp; Shelly[[#Headers],[O3]], LightSpec[From],LightSpec[Room], "No room"), Rooms[Code],Rooms[Room], "Empty") &amp; _xlfn.XLOOKUP(Shelly[[#This Row],[Code]]&amp; Shelly[[#Headers],[O3]], LightSpec[From]," (" &amp; LightSpec[DiagNo] &amp; ")", ""))</f>
        <v>NA</v>
      </c>
      <c r="M12" s="1" t="str" cm="1">
        <f t="array" ref="M12">IF(LEFT(Shelly[[#This Row],[Code]])="D", "NA", _xlfn.XLOOKUP(_xlfn.XLOOKUP(Shelly[[#This Row],[Code]]&amp; Shelly[[#Headers],[O4]], LightSpec[From],LightSpec[Room], "No room"), Rooms[Code],Rooms[Room], "Empty") &amp; _xlfn.XLOOKUP(Shelly[[#This Row],[Code]]&amp; Shelly[[#Headers],[O4]], LightSpec[From]," (" &amp; LightSpec[DiagNo] &amp; ")", ""))</f>
        <v>NA</v>
      </c>
    </row>
    <row r="13" spans="1:16" x14ac:dyDescent="0.25">
      <c r="A13" s="1" t="s">
        <v>460</v>
      </c>
      <c r="B13" s="1" t="str">
        <f>_xlfn.XLOOKUP(MID(Shelly[[#This Row],[Code]],1,1), Device[Code],Device[Device])</f>
        <v>Shelly Pro Dimmer D2PM</v>
      </c>
      <c r="C13" s="1" t="str">
        <f>MID(Shelly[[#This Row],[Code]],2,3)</f>
        <v>6</v>
      </c>
      <c r="D13" s="1" t="s">
        <v>607</v>
      </c>
      <c r="E13" s="1" t="str">
        <f>subnetStart&amp;_xlfn.XLOOKUP(Shelly[[#This Row],[Type]],IPConfig[Device],IPConfig[Start])+Shelly[[#This Row],[No]]-1</f>
        <v>192.168.10.16</v>
      </c>
      <c r="F13" s="1" t="str" cm="1">
        <f t="array" ref="F13">_xlfn.LET(
   _xlpm.group, Shelly[[#This Row],[Code]],
   _xlpm.matches, _xlfn._xlws.FILTER(LightSpec[S1], LEFT(LightSpec[From], LEN(_xlpm.group)) = _xlpm.group),
   IFERROR(
     INDEX(_xlpm.matches, MATCH(TRUE, _xlpm.matches&lt;&gt;"", 0)),
     ""
   )
)</f>
        <v>Dining Kitchen (Switch S3)</v>
      </c>
      <c r="G13" s="1" t="str" cm="1">
        <f t="array" ref="G13">_xlfn.LET(
   _xlpm.group, Shelly[[#This Row],[Code]],
   _xlpm.matches, _xlfn._xlws.FILTER(LightSpec[S2], LEFT(LightSpec[From], LEN(_xlpm.group)) = _xlpm.group),
   IFERROR(
     INDEX(_xlpm.matches, MATCH(TRUE, _xlpm.matches&lt;&gt;"", 0)),
     ""
   )
)</f>
        <v>Dining Kitchen (Switch S3)</v>
      </c>
      <c r="H13" s="1" t="str" cm="1">
        <f t="array" ref="H13">_xlfn.LET(
   _xlpm.group, Shelly[[#This Row],[Code]],
   _xlpm.matches, _xlfn._xlws.FILTER(LightSpec[S3], LEFT(LightSpec[From], LEN(_xlpm.group)) = _xlpm.group),
   IFERROR(
     INDEX(_xlpm.matches, MATCH(TRUE, _xlpm.matches&lt;&gt;"", 0)),
     ""
   )
)</f>
        <v>Dining Kitchen (Switch S3)</v>
      </c>
      <c r="I13" s="1" t="str" cm="1">
        <f t="array" ref="I13">_xlfn.LET(
   _xlpm.group, Shelly[[#This Row],[Code]],
   _xlpm.matches, _xlfn._xlws.FILTER(LightSpec[S4], LEFT(LightSpec[From], LEN(_xlpm.group)) = _xlpm.group),
   IFERROR(
     INDEX(_xlpm.matches, MATCH(TRUE, _xlpm.matches&lt;&gt;"", 0)),
     ""
   )
)</f>
        <v>Dining Kitchen (Switch S3)</v>
      </c>
      <c r="J13" s="1" t="str" cm="1">
        <f t="array" ref="J13">_xlfn.XLOOKUP(_xlfn.XLOOKUP(Shelly[[#This Row],[Code]]&amp; Shelly[[#Headers],[O1]], LightSpec[From],LightSpec[Room], "No room"), Rooms[Code],Rooms[Room], "Empty") &amp; _xlfn.XLOOKUP(Shelly[[#This Row],[Code]]&amp; Shelly[[#Headers],[O1]], LightSpec[From], " (" &amp;LightSpec[DiagNo] &amp; ")", "")</f>
        <v>Lounge (C3)</v>
      </c>
      <c r="K13" s="1" t="str" cm="1">
        <f t="array" ref="K13">_xlfn.XLOOKUP(_xlfn.XLOOKUP(Shelly[[#This Row],[Code]]&amp; Shelly[[#Headers],[O2]], LightSpec[From],LightSpec[Room], "No room"), Rooms[Code],Rooms[Room], "Empty") &amp; _xlfn.XLOOKUP(Shelly[[#This Row],[Code]]&amp; Shelly[[#Headers],[O2]], LightSpec[From], " (" &amp;LightSpec[DiagNo] &amp; ")", "")</f>
        <v>Lounge (C4)</v>
      </c>
      <c r="L13" s="1" t="str" cm="1">
        <f t="array" ref="L13">IF(LEFT(Shelly[[#This Row],[Code]])="D", "NA", _xlfn.XLOOKUP(_xlfn.XLOOKUP(Shelly[[#This Row],[Code]]&amp; Shelly[[#Headers],[O3]], LightSpec[From],LightSpec[Room], "No room"), Rooms[Code],Rooms[Room], "Empty") &amp; _xlfn.XLOOKUP(Shelly[[#This Row],[Code]]&amp; Shelly[[#Headers],[O3]], LightSpec[From]," (" &amp; LightSpec[DiagNo] &amp; ")", ""))</f>
        <v>NA</v>
      </c>
      <c r="M13" s="1" t="str" cm="1">
        <f t="array" ref="M13">IF(LEFT(Shelly[[#This Row],[Code]])="D", "NA", _xlfn.XLOOKUP(_xlfn.XLOOKUP(Shelly[[#This Row],[Code]]&amp; Shelly[[#Headers],[O4]], LightSpec[From],LightSpec[Room], "No room"), Rooms[Code],Rooms[Room], "Empty") &amp; _xlfn.XLOOKUP(Shelly[[#This Row],[Code]]&amp; Shelly[[#Headers],[O4]], LightSpec[From]," (" &amp; LightSpec[DiagNo] &amp; ")", ""))</f>
        <v>NA</v>
      </c>
    </row>
    <row r="14" spans="1:16" x14ac:dyDescent="0.25">
      <c r="A14" s="1" t="s">
        <v>461</v>
      </c>
      <c r="B14" s="1" t="str">
        <f>_xlfn.XLOOKUP(MID(Shelly[[#This Row],[Code]],1,1), Device[Code],Device[Device])</f>
        <v>Shelly Pro Dimmer D2PM</v>
      </c>
      <c r="C14" s="1" t="str">
        <f>MID(Shelly[[#This Row],[Code]],2,3)</f>
        <v>7</v>
      </c>
      <c r="D14" s="1" t="s">
        <v>608</v>
      </c>
      <c r="E14" s="1" t="str">
        <f>subnetStart&amp;_xlfn.XLOOKUP(Shelly[[#This Row],[Type]],IPConfig[Device],IPConfig[Start])+Shelly[[#This Row],[No]]-1</f>
        <v>192.168.10.17</v>
      </c>
      <c r="F14" s="1" t="str" cm="1">
        <f t="array" ref="F14">_xlfn.LET(
   _xlpm.group, Shelly[[#This Row],[Code]],
   _xlpm.matches, _xlfn._xlws.FILTER(LightSpec[S1], LEFT(LightSpec[From], LEN(_xlpm.group)) = _xlpm.group),
   IFERROR(
     INDEX(_xlpm.matches, MATCH(TRUE, _xlpm.matches&lt;&gt;"", 0)),
     ""
   )
)</f>
        <v>Dining Kitchen (Switch S1)</v>
      </c>
      <c r="G14" s="1" t="str" cm="1">
        <f t="array" ref="G14">_xlfn.LET(
   _xlpm.group, Shelly[[#This Row],[Code]],
   _xlpm.matches, _xlfn._xlws.FILTER(LightSpec[S2], LEFT(LightSpec[From], LEN(_xlpm.group)) = _xlpm.group),
   IFERROR(
     INDEX(_xlpm.matches, MATCH(TRUE, _xlpm.matches&lt;&gt;"", 0)),
     ""
   )
)</f>
        <v>Dining Kitchen (Switch S1)</v>
      </c>
      <c r="H14" s="1" t="str" cm="1">
        <f t="array" ref="H14">_xlfn.LET(
   _xlpm.group, Shelly[[#This Row],[Code]],
   _xlpm.matches, _xlfn._xlws.FILTER(LightSpec[S3], LEFT(LightSpec[From], LEN(_xlpm.group)) = _xlpm.group),
   IFERROR(
     INDEX(_xlpm.matches, MATCH(TRUE, _xlpm.matches&lt;&gt;"", 0)),
     ""
   )
)</f>
        <v>Dining Kitchen (Switch S1)</v>
      </c>
      <c r="I14" s="1" t="str" cm="1">
        <f t="array" ref="I14">_xlfn.LET(
   _xlpm.group, Shelly[[#This Row],[Code]],
   _xlpm.matches, _xlfn._xlws.FILTER(LightSpec[S4], LEFT(LightSpec[From], LEN(_xlpm.group)) = _xlpm.group),
   IFERROR(
     INDEX(_xlpm.matches, MATCH(TRUE, _xlpm.matches&lt;&gt;"", 0)),
     ""
   )
)</f>
        <v>Dining Kitchen (Switch S1)</v>
      </c>
      <c r="J14" s="1" t="str" cm="1">
        <f t="array" ref="J14">_xlfn.XLOOKUP(_xlfn.XLOOKUP(Shelly[[#This Row],[Code]]&amp; Shelly[[#Headers],[O1]], LightSpec[From],LightSpec[Room], "No room"), Rooms[Code],Rooms[Room], "Empty") &amp; _xlfn.XLOOKUP(Shelly[[#This Row],[Code]]&amp; Shelly[[#Headers],[O1]], LightSpec[From], " (" &amp;LightSpec[DiagNo] &amp; ")", "")</f>
        <v>Dining Kitchen (C1)</v>
      </c>
      <c r="K14" s="1" t="str" cm="1">
        <f t="array" ref="K14">_xlfn.XLOOKUP(_xlfn.XLOOKUP(Shelly[[#This Row],[Code]]&amp; Shelly[[#Headers],[O2]], LightSpec[From],LightSpec[Room], "No room"), Rooms[Code],Rooms[Room], "Empty") &amp; _xlfn.XLOOKUP(Shelly[[#This Row],[Code]]&amp; Shelly[[#Headers],[O2]], LightSpec[From], " (" &amp;LightSpec[DiagNo] &amp; ")", "")</f>
        <v>Dining Kitchen (C2)</v>
      </c>
      <c r="L14" s="1" t="str" cm="1">
        <f t="array" ref="L14">IF(LEFT(Shelly[[#This Row],[Code]])="D", "NA", _xlfn.XLOOKUP(_xlfn.XLOOKUP(Shelly[[#This Row],[Code]]&amp; Shelly[[#Headers],[O3]], LightSpec[From],LightSpec[Room], "No room"), Rooms[Code],Rooms[Room], "Empty") &amp; _xlfn.XLOOKUP(Shelly[[#This Row],[Code]]&amp; Shelly[[#Headers],[O3]], LightSpec[From]," (" &amp; LightSpec[DiagNo] &amp; ")", ""))</f>
        <v>NA</v>
      </c>
      <c r="M14" s="1" t="str" cm="1">
        <f t="array" ref="M14">IF(LEFT(Shelly[[#This Row],[Code]])="D", "NA", _xlfn.XLOOKUP(_xlfn.XLOOKUP(Shelly[[#This Row],[Code]]&amp; Shelly[[#Headers],[O4]], LightSpec[From],LightSpec[Room], "No room"), Rooms[Code],Rooms[Room], "Empty") &amp; _xlfn.XLOOKUP(Shelly[[#This Row],[Code]]&amp; Shelly[[#Headers],[O4]], LightSpec[From]," (" &amp; LightSpec[DiagNo] &amp; ")", ""))</f>
        <v>NA</v>
      </c>
    </row>
    <row r="15" spans="1:16" x14ac:dyDescent="0.25">
      <c r="A15" s="1" t="s">
        <v>462</v>
      </c>
      <c r="B15" s="1" t="str">
        <f>_xlfn.XLOOKUP(MID(Shelly[[#This Row],[Code]],1,1), Device[Code],Device[Device])</f>
        <v>Shelly Pro Dimmer D2PM</v>
      </c>
      <c r="C15" s="1" t="str">
        <f>MID(Shelly[[#This Row],[Code]],2,3)</f>
        <v>8</v>
      </c>
      <c r="D15" s="1" t="s">
        <v>609</v>
      </c>
      <c r="E15" s="1" t="str">
        <f>subnetStart&amp;_xlfn.XLOOKUP(Shelly[[#This Row],[Type]],IPConfig[Device],IPConfig[Start])+Shelly[[#This Row],[No]]-1</f>
        <v>192.168.10.18</v>
      </c>
      <c r="F15" s="1" t="str" cm="1">
        <f t="array" ref="F15">_xlfn.LET(
   _xlpm.group, Shelly[[#This Row],[Code]],
   _xlpm.matches, _xlfn._xlws.FILTER(LightSpec[S1], LEFT(LightSpec[From], LEN(_xlpm.group)) = _xlpm.group),
   IFERROR(
     INDEX(_xlpm.matches, MATCH(TRUE, _xlpm.matches&lt;&gt;"", 0)),
     ""
   )
)</f>
        <v>Dining Kitchen (Switch S2)</v>
      </c>
      <c r="G15" s="1" t="str" cm="1">
        <f t="array" ref="G15">_xlfn.LET(
   _xlpm.group, Shelly[[#This Row],[Code]],
   _xlpm.matches, _xlfn._xlws.FILTER(LightSpec[S2], LEFT(LightSpec[From], LEN(_xlpm.group)) = _xlpm.group),
   IFERROR(
     INDEX(_xlpm.matches, MATCH(TRUE, _xlpm.matches&lt;&gt;"", 0)),
     ""
   )
)</f>
        <v>Dining Kitchen (Switch S2)</v>
      </c>
      <c r="H15" s="1" t="str" cm="1">
        <f t="array" ref="H15">_xlfn.LET(
   _xlpm.group, Shelly[[#This Row],[Code]],
   _xlpm.matches, _xlfn._xlws.FILTER(LightSpec[S3], LEFT(LightSpec[From], LEN(_xlpm.group)) = _xlpm.group),
   IFERROR(
     INDEX(_xlpm.matches, MATCH(TRUE, _xlpm.matches&lt;&gt;"", 0)),
     ""
   )
)</f>
        <v>Dining Kitchen (Switch S2)</v>
      </c>
      <c r="I15" s="1" t="str" cm="1">
        <f t="array" ref="I15">_xlfn.LET(
   _xlpm.group, Shelly[[#This Row],[Code]],
   _xlpm.matches, _xlfn._xlws.FILTER(LightSpec[S4], LEFT(LightSpec[From], LEN(_xlpm.group)) = _xlpm.group),
   IFERROR(
     INDEX(_xlpm.matches, MATCH(TRUE, _xlpm.matches&lt;&gt;"", 0)),
     ""
   )
)</f>
        <v>Dining Kitchen (Switch S2)</v>
      </c>
      <c r="J15" s="1" t="str" cm="1">
        <f t="array" ref="J15">_xlfn.XLOOKUP(_xlfn.XLOOKUP(Shelly[[#This Row],[Code]]&amp; Shelly[[#Headers],[O1]], LightSpec[From],LightSpec[Room], "No room"), Rooms[Code],Rooms[Room], "Empty") &amp; _xlfn.XLOOKUP(Shelly[[#This Row],[Code]]&amp; Shelly[[#Headers],[O1]], LightSpec[From], " (" &amp;LightSpec[DiagNo] &amp; ")", "")</f>
        <v>Dining Kitchen (C3)</v>
      </c>
      <c r="K15" s="1" t="str" cm="1">
        <f t="array" ref="K15">_xlfn.XLOOKUP(_xlfn.XLOOKUP(Shelly[[#This Row],[Code]]&amp; Shelly[[#Headers],[O2]], LightSpec[From],LightSpec[Room], "No room"), Rooms[Code],Rooms[Room], "Empty") &amp; _xlfn.XLOOKUP(Shelly[[#This Row],[Code]]&amp; Shelly[[#Headers],[O2]], LightSpec[From], " (" &amp;LightSpec[DiagNo] &amp; ")", "")</f>
        <v>Dining Kitchen (C4)</v>
      </c>
      <c r="L15" s="1" t="str" cm="1">
        <f t="array" ref="L15">IF(LEFT(Shelly[[#This Row],[Code]])="D", "NA", _xlfn.XLOOKUP(_xlfn.XLOOKUP(Shelly[[#This Row],[Code]]&amp; Shelly[[#Headers],[O3]], LightSpec[From],LightSpec[Room], "No room"), Rooms[Code],Rooms[Room], "Empty") &amp; _xlfn.XLOOKUP(Shelly[[#This Row],[Code]]&amp; Shelly[[#Headers],[O3]], LightSpec[From]," (" &amp; LightSpec[DiagNo] &amp; ")", ""))</f>
        <v>NA</v>
      </c>
      <c r="M15" s="1" t="str" cm="1">
        <f t="array" ref="M15">IF(LEFT(Shelly[[#This Row],[Code]])="D", "NA", _xlfn.XLOOKUP(_xlfn.XLOOKUP(Shelly[[#This Row],[Code]]&amp; Shelly[[#Headers],[O4]], LightSpec[From],LightSpec[Room], "No room"), Rooms[Code],Rooms[Room], "Empty") &amp; _xlfn.XLOOKUP(Shelly[[#This Row],[Code]]&amp; Shelly[[#Headers],[O4]], LightSpec[From]," (" &amp; LightSpec[DiagNo] &amp; ")", ""))</f>
        <v>NA</v>
      </c>
    </row>
    <row r="16" spans="1:16" x14ac:dyDescent="0.25">
      <c r="A16" s="1" t="s">
        <v>463</v>
      </c>
      <c r="B16" s="1" t="str">
        <f>_xlfn.XLOOKUP(MID(Shelly[[#This Row],[Code]],1,1), Device[Code],Device[Device])</f>
        <v>Shelly Pro Dimmer D2PM</v>
      </c>
      <c r="C16" s="1" t="str">
        <f>MID(Shelly[[#This Row],[Code]],2,3)</f>
        <v>9</v>
      </c>
      <c r="D16" s="1" t="s">
        <v>610</v>
      </c>
      <c r="E16" s="1" t="str">
        <f>subnetStart&amp;_xlfn.XLOOKUP(Shelly[[#This Row],[Type]],IPConfig[Device],IPConfig[Start])+Shelly[[#This Row],[No]]-1</f>
        <v>192.168.10.19</v>
      </c>
      <c r="F16" s="1" t="str" cm="1">
        <f t="array" ref="F16">_xlfn.LET(
   _xlpm.group, Shelly[[#This Row],[Code]],
   _xlpm.matches, _xlfn._xlws.FILTER(LightSpec[S1], LEFT(LightSpec[From], LEN(_xlpm.group)) = _xlpm.group),
   IFERROR(
     INDEX(_xlpm.matches, MATCH(TRUE, _xlpm.matches&lt;&gt;"", 0)),
     ""
   )
)</f>
        <v/>
      </c>
      <c r="G16" s="1" t="str" cm="1">
        <f t="array" ref="G16">_xlfn.LET(
   _xlpm.group, Shelly[[#This Row],[Code]],
   _xlpm.matches, _xlfn._xlws.FILTER(LightSpec[S2], LEFT(LightSpec[From], LEN(_xlpm.group)) = _xlpm.group),
   IFERROR(
     INDEX(_xlpm.matches, MATCH(TRUE, _xlpm.matches&lt;&gt;"", 0)),
     ""
   )
)</f>
        <v/>
      </c>
      <c r="H16" s="1" t="str" cm="1">
        <f t="array" ref="H16">_xlfn.LET(
   _xlpm.group, Shelly[[#This Row],[Code]],
   _xlpm.matches, _xlfn._xlws.FILTER(LightSpec[S3], LEFT(LightSpec[From], LEN(_xlpm.group)) = _xlpm.group),
   IFERROR(
     INDEX(_xlpm.matches, MATCH(TRUE, _xlpm.matches&lt;&gt;"", 0)),
     ""
   )
)</f>
        <v/>
      </c>
      <c r="I16" s="1" t="str" cm="1">
        <f t="array" ref="I16">_xlfn.LET(
   _xlpm.group, Shelly[[#This Row],[Code]],
   _xlpm.matches, _xlfn._xlws.FILTER(LightSpec[S4], LEFT(LightSpec[From], LEN(_xlpm.group)) = _xlpm.group),
   IFERROR(
     INDEX(_xlpm.matches, MATCH(TRUE, _xlpm.matches&lt;&gt;"", 0)),
     ""
   )
)</f>
        <v/>
      </c>
      <c r="J16" s="1" t="str" cm="1">
        <f t="array" ref="J16">_xlfn.XLOOKUP(_xlfn.XLOOKUP(Shelly[[#This Row],[Code]]&amp; Shelly[[#Headers],[O1]], LightSpec[From],LightSpec[Room], "No room"), Rooms[Code],Rooms[Room], "Empty") &amp; _xlfn.XLOOKUP(Shelly[[#This Row],[Code]]&amp; Shelly[[#Headers],[O1]], LightSpec[From], " (" &amp;LightSpec[DiagNo] &amp; ")", "")</f>
        <v>Dining Kitchen (C6)</v>
      </c>
      <c r="K16" s="1" t="str" cm="1">
        <f t="array" ref="K16">_xlfn.XLOOKUP(_xlfn.XLOOKUP(Shelly[[#This Row],[Code]]&amp; Shelly[[#Headers],[O2]], LightSpec[From],LightSpec[Room], "No room"), Rooms[Code],Rooms[Room], "Empty") &amp; _xlfn.XLOOKUP(Shelly[[#This Row],[Code]]&amp; Shelly[[#Headers],[O2]], LightSpec[From], " (" &amp;LightSpec[DiagNo] &amp; ")", "")</f>
        <v>Dining Kitchen (C8)</v>
      </c>
      <c r="L16" s="1" t="str" cm="1">
        <f t="array" ref="L16">IF(LEFT(Shelly[[#This Row],[Code]])="D", "NA", _xlfn.XLOOKUP(_xlfn.XLOOKUP(Shelly[[#This Row],[Code]]&amp; Shelly[[#Headers],[O3]], LightSpec[From],LightSpec[Room], "No room"), Rooms[Code],Rooms[Room], "Empty") &amp; _xlfn.XLOOKUP(Shelly[[#This Row],[Code]]&amp; Shelly[[#Headers],[O3]], LightSpec[From]," (" &amp; LightSpec[DiagNo] &amp; ")", ""))</f>
        <v>NA</v>
      </c>
      <c r="M16" s="1" t="str" cm="1">
        <f t="array" ref="M16">IF(LEFT(Shelly[[#This Row],[Code]])="D", "NA", _xlfn.XLOOKUP(_xlfn.XLOOKUP(Shelly[[#This Row],[Code]]&amp; Shelly[[#Headers],[O4]], LightSpec[From],LightSpec[Room], "No room"), Rooms[Code],Rooms[Room], "Empty") &amp; _xlfn.XLOOKUP(Shelly[[#This Row],[Code]]&amp; Shelly[[#Headers],[O4]], LightSpec[From]," (" &amp; LightSpec[DiagNo] &amp; ")", ""))</f>
        <v>NA</v>
      </c>
    </row>
    <row r="17" spans="1:13" x14ac:dyDescent="0.25">
      <c r="A17" s="1" t="s">
        <v>464</v>
      </c>
      <c r="B17" s="1" t="str">
        <f>_xlfn.XLOOKUP(MID(Shelly[[#This Row],[Code]],1,1), Device[Code],Device[Device])</f>
        <v>Shelly Pro Dimmer D2PM</v>
      </c>
      <c r="C17" s="1" t="str">
        <f>MID(Shelly[[#This Row],[Code]],2,3)</f>
        <v>10</v>
      </c>
      <c r="D17" s="1" t="s">
        <v>611</v>
      </c>
      <c r="E17" s="1" t="str">
        <f>subnetStart&amp;_xlfn.XLOOKUP(Shelly[[#This Row],[Type]],IPConfig[Device],IPConfig[Start])+Shelly[[#This Row],[No]]-1</f>
        <v>192.168.10.20</v>
      </c>
      <c r="F17" s="1" t="str" cm="1">
        <f t="array" ref="F17">_xlfn.LET(
   _xlpm.group, Shelly[[#This Row],[Code]],
   _xlpm.matches, _xlfn._xlws.FILTER(LightSpec[S1], LEFT(LightSpec[From], LEN(_xlpm.group)) = _xlpm.group),
   IFERROR(
     INDEX(_xlpm.matches, MATCH(TRUE, _xlpm.matches&lt;&gt;"", 0)),
     ""
   )
)</f>
        <v/>
      </c>
      <c r="G17" s="1" t="str" cm="1">
        <f t="array" ref="G17">_xlfn.LET(
   _xlpm.group, Shelly[[#This Row],[Code]],
   _xlpm.matches, _xlfn._xlws.FILTER(LightSpec[S2], LEFT(LightSpec[From], LEN(_xlpm.group)) = _xlpm.group),
   IFERROR(
     INDEX(_xlpm.matches, MATCH(TRUE, _xlpm.matches&lt;&gt;"", 0)),
     ""
   )
)</f>
        <v/>
      </c>
      <c r="H17" s="1" t="str" cm="1">
        <f t="array" ref="H17">_xlfn.LET(
   _xlpm.group, Shelly[[#This Row],[Code]],
   _xlpm.matches, _xlfn._xlws.FILTER(LightSpec[S3], LEFT(LightSpec[From], LEN(_xlpm.group)) = _xlpm.group),
   IFERROR(
     INDEX(_xlpm.matches, MATCH(TRUE, _xlpm.matches&lt;&gt;"", 0)),
     ""
   )
)</f>
        <v/>
      </c>
      <c r="I17" s="1" t="str" cm="1">
        <f t="array" ref="I17">_xlfn.LET(
   _xlpm.group, Shelly[[#This Row],[Code]],
   _xlpm.matches, _xlfn._xlws.FILTER(LightSpec[S4], LEFT(LightSpec[From], LEN(_xlpm.group)) = _xlpm.group),
   IFERROR(
     INDEX(_xlpm.matches, MATCH(TRUE, _xlpm.matches&lt;&gt;"", 0)),
     ""
   )
)</f>
        <v/>
      </c>
      <c r="J17" s="1" t="str" cm="1">
        <f t="array" ref="J17">_xlfn.XLOOKUP(_xlfn.XLOOKUP(Shelly[[#This Row],[Code]]&amp; Shelly[[#Headers],[O1]], LightSpec[From],LightSpec[Room], "No room"), Rooms[Code],Rooms[Room], "Empty") &amp; _xlfn.XLOOKUP(Shelly[[#This Row],[Code]]&amp; Shelly[[#Headers],[O1]], LightSpec[From], " (" &amp;LightSpec[DiagNo] &amp; ")", "")</f>
        <v>Dining Kitchen (C9)</v>
      </c>
      <c r="K17" s="1" t="str" cm="1">
        <f t="array" ref="K17">_xlfn.XLOOKUP(_xlfn.XLOOKUP(Shelly[[#This Row],[Code]]&amp; Shelly[[#Headers],[O2]], LightSpec[From],LightSpec[Room], "No room"), Rooms[Code],Rooms[Room], "Empty") &amp; _xlfn.XLOOKUP(Shelly[[#This Row],[Code]]&amp; Shelly[[#Headers],[O2]], LightSpec[From], " (" &amp;LightSpec[DiagNo] &amp; ")", "")</f>
        <v>Pantry (C1)</v>
      </c>
      <c r="L17" s="1" t="str" cm="1">
        <f t="array" ref="L17">IF(LEFT(Shelly[[#This Row],[Code]])="D", "NA", _xlfn.XLOOKUP(_xlfn.XLOOKUP(Shelly[[#This Row],[Code]]&amp; Shelly[[#Headers],[O3]], LightSpec[From],LightSpec[Room], "No room"), Rooms[Code],Rooms[Room], "Empty") &amp; _xlfn.XLOOKUP(Shelly[[#This Row],[Code]]&amp; Shelly[[#Headers],[O3]], LightSpec[From]," (" &amp; LightSpec[DiagNo] &amp; ")", ""))</f>
        <v>NA</v>
      </c>
      <c r="M17" s="1" t="str" cm="1">
        <f t="array" ref="M17">IF(LEFT(Shelly[[#This Row],[Code]])="D", "NA", _xlfn.XLOOKUP(_xlfn.XLOOKUP(Shelly[[#This Row],[Code]]&amp; Shelly[[#Headers],[O4]], LightSpec[From],LightSpec[Room], "No room"), Rooms[Code],Rooms[Room], "Empty") &amp; _xlfn.XLOOKUP(Shelly[[#This Row],[Code]]&amp; Shelly[[#Headers],[O4]], LightSpec[From]," (" &amp; LightSpec[DiagNo] &amp; ")", ""))</f>
        <v>NA</v>
      </c>
    </row>
    <row r="18" spans="1:13" x14ac:dyDescent="0.25">
      <c r="A18" s="1" t="s">
        <v>465</v>
      </c>
      <c r="B18" s="1" t="str">
        <f>_xlfn.XLOOKUP(MID(Shelly[[#This Row],[Code]],1,1), Device[Code],Device[Device])</f>
        <v>Shelly Pro Dimmer D2PM</v>
      </c>
      <c r="C18" s="1" t="str">
        <f>MID(Shelly[[#This Row],[Code]],2,3)</f>
        <v>11</v>
      </c>
      <c r="D18" s="1" t="s">
        <v>612</v>
      </c>
      <c r="E18" s="1" t="str">
        <f>subnetStart&amp;_xlfn.XLOOKUP(Shelly[[#This Row],[Type]],IPConfig[Device],IPConfig[Start])+Shelly[[#This Row],[No]]-1</f>
        <v>192.168.10.21</v>
      </c>
      <c r="F18" s="1" t="str" cm="1">
        <f t="array" ref="F18">_xlfn.LET(
   _xlpm.group, Shelly[[#This Row],[Code]],
   _xlpm.matches, _xlfn._xlws.FILTER(LightSpec[S1], LEFT(LightSpec[From], LEN(_xlpm.group)) = _xlpm.group),
   IFERROR(
     INDEX(_xlpm.matches, MATCH(TRUE, _xlpm.matches&lt;&gt;"", 0)),
     ""
   )
)</f>
        <v>Pantry (Switch S1)</v>
      </c>
      <c r="G18" s="1" t="str" cm="1">
        <f t="array" ref="G18">_xlfn.LET(
   _xlpm.group, Shelly[[#This Row],[Code]],
   _xlpm.matches, _xlfn._xlws.FILTER(LightSpec[S2], LEFT(LightSpec[From], LEN(_xlpm.group)) = _xlpm.group),
   IFERROR(
     INDEX(_xlpm.matches, MATCH(TRUE, _xlpm.matches&lt;&gt;"", 0)),
     ""
   )
)</f>
        <v>Pantry (Switch S1)</v>
      </c>
      <c r="H18" s="2" t="str" cm="1">
        <f t="array" ref="H18">_xlfn.LET(
   _xlpm.group, Shelly[[#This Row],[Code]],
   _xlpm.matches, _xlfn._xlws.FILTER(LightSpec[S3], LEFT(LightSpec[From], LEN(_xlpm.group)) = _xlpm.group),
   IFERROR(
     INDEX(_xlpm.matches, MATCH(TRUE, _xlpm.matches&lt;&gt;"", 0)),
     ""
   )
)</f>
        <v>Pantry (Switch S1)</v>
      </c>
      <c r="I18" s="2" t="str" cm="1">
        <f t="array" ref="I18">_xlfn.LET(
   _xlpm.group, Shelly[[#This Row],[Code]],
   _xlpm.matches, _xlfn._xlws.FILTER(LightSpec[S4], LEFT(LightSpec[From], LEN(_xlpm.group)) = _xlpm.group),
   IFERROR(
     INDEX(_xlpm.matches, MATCH(TRUE, _xlpm.matches&lt;&gt;"", 0)),
     ""
   )
)</f>
        <v>Pantry (Switch S1)</v>
      </c>
      <c r="J18" s="1" t="str" cm="1">
        <f t="array" ref="J18">_xlfn.XLOOKUP(_xlfn.XLOOKUP(Shelly[[#This Row],[Code]]&amp; Shelly[[#Headers],[O1]], LightSpec[From],LightSpec[Room], "No room"), Rooms[Code],Rooms[Room], "Empty") &amp; _xlfn.XLOOKUP(Shelly[[#This Row],[Code]]&amp; Shelly[[#Headers],[O1]], LightSpec[From], " (" &amp;LightSpec[DiagNo] &amp; ")", "")</f>
        <v>Pantry (C2)</v>
      </c>
      <c r="K18" s="1" t="str" cm="1">
        <f t="array" ref="K18">_xlfn.XLOOKUP(_xlfn.XLOOKUP(Shelly[[#This Row],[Code]]&amp; Shelly[[#Headers],[O2]], LightSpec[From],LightSpec[Room], "No room"), Rooms[Code],Rooms[Room], "Empty") &amp; _xlfn.XLOOKUP(Shelly[[#This Row],[Code]]&amp; Shelly[[#Headers],[O2]], LightSpec[From], " (" &amp;LightSpec[DiagNo] &amp; ")", "")</f>
        <v>Laundry (C1)</v>
      </c>
      <c r="L18" s="1" t="str" cm="1">
        <f t="array" ref="L18">IF(LEFT(Shelly[[#This Row],[Code]])="D", "NA", _xlfn.XLOOKUP(_xlfn.XLOOKUP(Shelly[[#This Row],[Code]]&amp; Shelly[[#Headers],[O3]], LightSpec[From],LightSpec[Room], "No room"), Rooms[Code],Rooms[Room], "Empty") &amp; _xlfn.XLOOKUP(Shelly[[#This Row],[Code]]&amp; Shelly[[#Headers],[O3]], LightSpec[From]," (" &amp; LightSpec[DiagNo] &amp; ")", ""))</f>
        <v>NA</v>
      </c>
      <c r="M18" s="1" t="str" cm="1">
        <f t="array" ref="M18">IF(LEFT(Shelly[[#This Row],[Code]])="D", "NA", _xlfn.XLOOKUP(_xlfn.XLOOKUP(Shelly[[#This Row],[Code]]&amp; Shelly[[#Headers],[O4]], LightSpec[From],LightSpec[Room], "No room"), Rooms[Code],Rooms[Room], "Empty") &amp; _xlfn.XLOOKUP(Shelly[[#This Row],[Code]]&amp; Shelly[[#Headers],[O4]], LightSpec[From]," (" &amp; LightSpec[DiagNo] &amp; ")", ""))</f>
        <v>NA</v>
      </c>
    </row>
    <row r="19" spans="1:13" x14ac:dyDescent="0.25">
      <c r="A19" s="1" t="s">
        <v>466</v>
      </c>
      <c r="B19" s="1" t="str">
        <f>_xlfn.XLOOKUP(MID(Shelly[[#This Row],[Code]],1,1), Device[Code],Device[Device])</f>
        <v>Shelly Pro Dimmer D2PM</v>
      </c>
      <c r="C19" s="1" t="str">
        <f>MID(Shelly[[#This Row],[Code]],2,3)</f>
        <v>12</v>
      </c>
      <c r="D19" s="1" t="s">
        <v>613</v>
      </c>
      <c r="E19" s="1" t="str">
        <f>subnetStart&amp;_xlfn.XLOOKUP(Shelly[[#This Row],[Type]],IPConfig[Device],IPConfig[Start])+Shelly[[#This Row],[No]]-1</f>
        <v>192.168.10.22</v>
      </c>
      <c r="F19" s="1" t="str" cm="1">
        <f t="array" ref="F19">_xlfn.LET(
   _xlpm.group, Shelly[[#This Row],[Code]],
   _xlpm.matches, _xlfn._xlws.FILTER(LightSpec[S1], LEFT(LightSpec[From], LEN(_xlpm.group)) = _xlpm.group),
   IFERROR(
     INDEX(_xlpm.matches, MATCH(TRUE, _xlpm.matches&lt;&gt;"", 0)),
     ""
   )
)</f>
        <v>Plant Room (Switch S1)</v>
      </c>
      <c r="G19" s="1" t="str" cm="1">
        <f t="array" ref="G19">_xlfn.LET(
   _xlpm.group, Shelly[[#This Row],[Code]],
   _xlpm.matches, _xlfn._xlws.FILTER(LightSpec[S2], LEFT(LightSpec[From], LEN(_xlpm.group)) = _xlpm.group),
   IFERROR(
     INDEX(_xlpm.matches, MATCH(TRUE, _xlpm.matches&lt;&gt;"", 0)),
     ""
   )
)</f>
        <v>Plant Room (Switch S1)</v>
      </c>
      <c r="H19" s="2" t="str" cm="1">
        <f t="array" ref="H19">_xlfn.LET(
   _xlpm.group, Shelly[[#This Row],[Code]],
   _xlpm.matches, _xlfn._xlws.FILTER(LightSpec[S3], LEFT(LightSpec[From], LEN(_xlpm.group)) = _xlpm.group),
   IFERROR(
     INDEX(_xlpm.matches, MATCH(TRUE, _xlpm.matches&lt;&gt;"", 0)),
     ""
   )
)</f>
        <v>Plant Room (Switch S1)</v>
      </c>
      <c r="I19" s="2" t="str" cm="1">
        <f t="array" ref="I19">_xlfn.LET(
   _xlpm.group, Shelly[[#This Row],[Code]],
   _xlpm.matches, _xlfn._xlws.FILTER(LightSpec[S4], LEFT(LightSpec[From], LEN(_xlpm.group)) = _xlpm.group),
   IFERROR(
     INDEX(_xlpm.matches, MATCH(TRUE, _xlpm.matches&lt;&gt;"", 0)),
     ""
   )
)</f>
        <v>Plant Room (Switch S1)</v>
      </c>
      <c r="J19" s="1" t="str" cm="1">
        <f t="array" ref="J19">_xlfn.XLOOKUP(_xlfn.XLOOKUP(Shelly[[#This Row],[Code]]&amp; Shelly[[#Headers],[O1]], LightSpec[From],LightSpec[Room], "No room"), Rooms[Code],Rooms[Room], "Empty") &amp; _xlfn.XLOOKUP(Shelly[[#This Row],[Code]]&amp; Shelly[[#Headers],[O1]], LightSpec[From], " (" &amp;LightSpec[DiagNo] &amp; ")", "")</f>
        <v>Plant Room (C1)</v>
      </c>
      <c r="K19" s="1" t="str" cm="1">
        <f t="array" ref="K19">_xlfn.XLOOKUP(_xlfn.XLOOKUP(Shelly[[#This Row],[Code]]&amp; Shelly[[#Headers],[O2]], LightSpec[From],LightSpec[Room], "No room"), Rooms[Code],Rooms[Room], "Empty") &amp; _xlfn.XLOOKUP(Shelly[[#This Row],[Code]]&amp; Shelly[[#Headers],[O2]], LightSpec[From], " (" &amp;LightSpec[DiagNo] &amp; ")", "")</f>
        <v>Plant Room (C2)</v>
      </c>
      <c r="L19" s="1" t="str" cm="1">
        <f t="array" ref="L19">IF(LEFT(Shelly[[#This Row],[Code]])="D", "NA", _xlfn.XLOOKUP(_xlfn.XLOOKUP(Shelly[[#This Row],[Code]]&amp; Shelly[[#Headers],[O3]], LightSpec[From],LightSpec[Room], "No room"), Rooms[Code],Rooms[Room], "Empty") &amp; _xlfn.XLOOKUP(Shelly[[#This Row],[Code]]&amp; Shelly[[#Headers],[O3]], LightSpec[From]," (" &amp; LightSpec[DiagNo] &amp; ")", ""))</f>
        <v>NA</v>
      </c>
      <c r="M19" s="1" t="str" cm="1">
        <f t="array" ref="M19">IF(LEFT(Shelly[[#This Row],[Code]])="D", "NA", _xlfn.XLOOKUP(_xlfn.XLOOKUP(Shelly[[#This Row],[Code]]&amp; Shelly[[#Headers],[O4]], LightSpec[From],LightSpec[Room], "No room"), Rooms[Code],Rooms[Room], "Empty") &amp; _xlfn.XLOOKUP(Shelly[[#This Row],[Code]]&amp; Shelly[[#Headers],[O4]], LightSpec[From]," (" &amp; LightSpec[DiagNo] &amp; ")", ""))</f>
        <v>NA</v>
      </c>
    </row>
    <row r="20" spans="1:13" x14ac:dyDescent="0.25">
      <c r="A20" s="1" t="s">
        <v>467</v>
      </c>
      <c r="B20" s="1" t="str">
        <f>_xlfn.XLOOKUP(MID(Shelly[[#This Row],[Code]],1,1), Device[Code],Device[Device])</f>
        <v>Shelly Pro Dimmer D2PM</v>
      </c>
      <c r="C20" s="1" t="str">
        <f>MID(Shelly[[#This Row],[Code]],2,3)</f>
        <v>13</v>
      </c>
      <c r="D20" s="1" t="s">
        <v>614</v>
      </c>
      <c r="E20" s="1" t="str">
        <f>subnetStart&amp;_xlfn.XLOOKUP(Shelly[[#This Row],[Type]],IPConfig[Device],IPConfig[Start])+Shelly[[#This Row],[No]]-1</f>
        <v>192.168.10.23</v>
      </c>
      <c r="F20" s="1" t="str" cm="1">
        <f t="array" ref="F20">_xlfn.LET(
   _xlpm.group, Shelly[[#This Row],[Code]],
   _xlpm.matches, _xlfn._xlws.FILTER(LightSpec[S1], LEFT(LightSpec[From], LEN(_xlpm.group)) = _xlpm.group),
   IFERROR(
     INDEX(_xlpm.matches, MATCH(TRUE, _xlpm.matches&lt;&gt;"", 0)),
     ""
   )
)</f>
        <v/>
      </c>
      <c r="G20" s="1" t="str" cm="1">
        <f t="array" ref="G20">_xlfn.LET(
   _xlpm.group, Shelly[[#This Row],[Code]],
   _xlpm.matches, _xlfn._xlws.FILTER(LightSpec[S2], LEFT(LightSpec[From], LEN(_xlpm.group)) = _xlpm.group),
   IFERROR(
     INDEX(_xlpm.matches, MATCH(TRUE, _xlpm.matches&lt;&gt;"", 0)),
     ""
   )
)</f>
        <v/>
      </c>
      <c r="H20" s="1" t="str" cm="1">
        <f t="array" ref="H20">_xlfn.LET(
   _xlpm.group, Shelly[[#This Row],[Code]],
   _xlpm.matches, _xlfn._xlws.FILTER(LightSpec[S3], LEFT(LightSpec[From], LEN(_xlpm.group)) = _xlpm.group),
   IFERROR(
     INDEX(_xlpm.matches, MATCH(TRUE, _xlpm.matches&lt;&gt;"", 0)),
     ""
   )
)</f>
        <v/>
      </c>
      <c r="I20" s="1" t="str" cm="1">
        <f t="array" ref="I20">_xlfn.LET(
   _xlpm.group, Shelly[[#This Row],[Code]],
   _xlpm.matches, _xlfn._xlws.FILTER(LightSpec[S4], LEFT(LightSpec[From], LEN(_xlpm.group)) = _xlpm.group),
   IFERROR(
     INDEX(_xlpm.matches, MATCH(TRUE, _xlpm.matches&lt;&gt;"", 0)),
     ""
   )
)</f>
        <v/>
      </c>
      <c r="J20" s="1" t="str" cm="1">
        <f t="array" ref="J20">_xlfn.XLOOKUP(_xlfn.XLOOKUP(Shelly[[#This Row],[Code]]&amp; Shelly[[#Headers],[O1]], LightSpec[From],LightSpec[Room], "No room"), Rooms[Code],Rooms[Room], "Empty") &amp; _xlfn.XLOOKUP(Shelly[[#This Row],[Code]]&amp; Shelly[[#Headers],[O1]], LightSpec[From], " (" &amp;LightSpec[DiagNo] &amp; ")", "")</f>
        <v>WC/Wet room (C1)</v>
      </c>
      <c r="K20" s="1" t="str" cm="1">
        <f t="array" ref="K20">_xlfn.XLOOKUP(_xlfn.XLOOKUP(Shelly[[#This Row],[Code]]&amp; Shelly[[#Headers],[O2]], LightSpec[From],LightSpec[Room], "No room"), Rooms[Code],Rooms[Room], "Empty") &amp; _xlfn.XLOOKUP(Shelly[[#This Row],[Code]]&amp; Shelly[[#Headers],[O2]], LightSpec[From], " (" &amp;LightSpec[DiagNo] &amp; ")", "")</f>
        <v>WC/Wet room (C4)</v>
      </c>
      <c r="L20" s="1" t="str" cm="1">
        <f t="array" ref="L20">IF(LEFT(Shelly[[#This Row],[Code]])="D", "NA", _xlfn.XLOOKUP(_xlfn.XLOOKUP(Shelly[[#This Row],[Code]]&amp; Shelly[[#Headers],[O3]], LightSpec[From],LightSpec[Room], "No room"), Rooms[Code],Rooms[Room], "Empty") &amp; _xlfn.XLOOKUP(Shelly[[#This Row],[Code]]&amp; Shelly[[#Headers],[O3]], LightSpec[From]," (" &amp; LightSpec[DiagNo] &amp; ")", ""))</f>
        <v>NA</v>
      </c>
      <c r="M20" s="1" t="str" cm="1">
        <f t="array" ref="M20">IF(LEFT(Shelly[[#This Row],[Code]])="D", "NA", _xlfn.XLOOKUP(_xlfn.XLOOKUP(Shelly[[#This Row],[Code]]&amp; Shelly[[#Headers],[O4]], LightSpec[From],LightSpec[Room], "No room"), Rooms[Code],Rooms[Room], "Empty") &amp; _xlfn.XLOOKUP(Shelly[[#This Row],[Code]]&amp; Shelly[[#Headers],[O4]], LightSpec[From]," (" &amp; LightSpec[DiagNo] &amp; ")", ""))</f>
        <v>NA</v>
      </c>
    </row>
    <row r="21" spans="1:13" x14ac:dyDescent="0.25">
      <c r="A21" s="1" t="s">
        <v>468</v>
      </c>
      <c r="B21" s="1" t="str">
        <f>_xlfn.XLOOKUP(MID(Shelly[[#This Row],[Code]],1,1), Device[Code],Device[Device])</f>
        <v>Shelly Pro Dimmer D2PM</v>
      </c>
      <c r="C21" s="1" t="str">
        <f>MID(Shelly[[#This Row],[Code]],2,3)</f>
        <v>14</v>
      </c>
      <c r="D21" s="1" t="s">
        <v>615</v>
      </c>
      <c r="E21" s="1" t="str">
        <f>subnetStart&amp;_xlfn.XLOOKUP(Shelly[[#This Row],[Type]],IPConfig[Device],IPConfig[Start])+Shelly[[#This Row],[No]]-1</f>
        <v>192.168.10.24</v>
      </c>
      <c r="F21" s="1" t="str" cm="1">
        <f t="array" ref="F21">_xlfn.LET(
   _xlpm.group, Shelly[[#This Row],[Code]],
   _xlpm.matches, _xlfn._xlws.FILTER(LightSpec[S1], LEFT(LightSpec[From], LEN(_xlpm.group)) = _xlpm.group),
   IFERROR(
     INDEX(_xlpm.matches, MATCH(TRUE, _xlpm.matches&lt;&gt;"", 0)),
     ""
   )
)</f>
        <v>Games room (Switch S1)</v>
      </c>
      <c r="G21" s="1" t="str" cm="1">
        <f t="array" ref="G21">_xlfn.LET(
   _xlpm.group, Shelly[[#This Row],[Code]],
   _xlpm.matches, _xlfn._xlws.FILTER(LightSpec[S2], LEFT(LightSpec[From], LEN(_xlpm.group)) = _xlpm.group),
   IFERROR(
     INDEX(_xlpm.matches, MATCH(TRUE, _xlpm.matches&lt;&gt;"", 0)),
     ""
   )
)</f>
        <v>Games room (Switch S1)</v>
      </c>
      <c r="H21" s="1" t="str" cm="1">
        <f t="array" ref="H21">_xlfn.LET(
   _xlpm.group, Shelly[[#This Row],[Code]],
   _xlpm.matches, _xlfn._xlws.FILTER(LightSpec[S3], LEFT(LightSpec[From], LEN(_xlpm.group)) = _xlpm.group),
   IFERROR(
     INDEX(_xlpm.matches, MATCH(TRUE, _xlpm.matches&lt;&gt;"", 0)),
     ""
   )
)</f>
        <v>Games room (Switch S1)</v>
      </c>
      <c r="I21" s="1" t="str" cm="1">
        <f t="array" ref="I21">_xlfn.LET(
   _xlpm.group, Shelly[[#This Row],[Code]],
   _xlpm.matches, _xlfn._xlws.FILTER(LightSpec[S4], LEFT(LightSpec[From], LEN(_xlpm.group)) = _xlpm.group),
   IFERROR(
     INDEX(_xlpm.matches, MATCH(TRUE, _xlpm.matches&lt;&gt;"", 0)),
     ""
   )
)</f>
        <v>Games room (Switch S1)</v>
      </c>
      <c r="J21" s="1" t="str" cm="1">
        <f t="array" ref="J21">_xlfn.XLOOKUP(_xlfn.XLOOKUP(Shelly[[#This Row],[Code]]&amp; Shelly[[#Headers],[O1]], LightSpec[From],LightSpec[Room], "No room"), Rooms[Code],Rooms[Room], "Empty") &amp; _xlfn.XLOOKUP(Shelly[[#This Row],[Code]]&amp; Shelly[[#Headers],[O1]], LightSpec[From], " (" &amp;LightSpec[DiagNo] &amp; ")", "")</f>
        <v>Games room (C1)</v>
      </c>
      <c r="K21" s="1" t="str" cm="1">
        <f t="array" ref="K21">_xlfn.XLOOKUP(_xlfn.XLOOKUP(Shelly[[#This Row],[Code]]&amp; Shelly[[#Headers],[O2]], LightSpec[From],LightSpec[Room], "No room"), Rooms[Code],Rooms[Room], "Empty") &amp; _xlfn.XLOOKUP(Shelly[[#This Row],[Code]]&amp; Shelly[[#Headers],[O2]], LightSpec[From], " (" &amp;LightSpec[DiagNo] &amp; ")", "")</f>
        <v>Empty</v>
      </c>
      <c r="L21" s="1" t="str" cm="1">
        <f t="array" ref="L21">IF(LEFT(Shelly[[#This Row],[Code]])="D", "NA", _xlfn.XLOOKUP(_xlfn.XLOOKUP(Shelly[[#This Row],[Code]]&amp; Shelly[[#Headers],[O3]], LightSpec[From],LightSpec[Room], "No room"), Rooms[Code],Rooms[Room], "Empty") &amp; _xlfn.XLOOKUP(Shelly[[#This Row],[Code]]&amp; Shelly[[#Headers],[O3]], LightSpec[From]," (" &amp; LightSpec[DiagNo] &amp; ")", ""))</f>
        <v>NA</v>
      </c>
      <c r="M21" s="1" t="str" cm="1">
        <f t="array" ref="M21">IF(LEFT(Shelly[[#This Row],[Code]])="D", "NA", _xlfn.XLOOKUP(_xlfn.XLOOKUP(Shelly[[#This Row],[Code]]&amp; Shelly[[#Headers],[O4]], LightSpec[From],LightSpec[Room], "No room"), Rooms[Code],Rooms[Room], "Empty") &amp; _xlfn.XLOOKUP(Shelly[[#This Row],[Code]]&amp; Shelly[[#Headers],[O4]], LightSpec[From]," (" &amp; LightSpec[DiagNo] &amp; ")", ""))</f>
        <v>NA</v>
      </c>
    </row>
    <row r="22" spans="1:13" x14ac:dyDescent="0.25">
      <c r="A22" s="1" t="s">
        <v>469</v>
      </c>
      <c r="B22" s="1" t="str">
        <f>_xlfn.XLOOKUP(MID(Shelly[[#This Row],[Code]],1,1), Device[Code],Device[Device])</f>
        <v>Shelly Pro Dimmer D2PM</v>
      </c>
      <c r="C22" s="1" t="str">
        <f>MID(Shelly[[#This Row],[Code]],2,3)</f>
        <v>15</v>
      </c>
      <c r="D22" s="1" t="s">
        <v>616</v>
      </c>
      <c r="E22" s="1" t="str">
        <f>subnetStart&amp;_xlfn.XLOOKUP(Shelly[[#This Row],[Type]],IPConfig[Device],IPConfig[Start])+Shelly[[#This Row],[No]]-1</f>
        <v>192.168.10.25</v>
      </c>
      <c r="F22" s="1" t="str" cm="1">
        <f t="array" ref="F22">_xlfn.LET(
   _xlpm.group, Shelly[[#This Row],[Code]],
   _xlpm.matches, _xlfn._xlws.FILTER(LightSpec[S1], LEFT(LightSpec[From], LEN(_xlpm.group)) = _xlpm.group),
   IFERROR(
     INDEX(_xlpm.matches, MATCH(TRUE, _xlpm.matches&lt;&gt;"", 0)),
     ""
   )
)</f>
        <v>Master Dressing (Switch S1)</v>
      </c>
      <c r="G22" s="1" t="str" cm="1">
        <f t="array" ref="G22">_xlfn.LET(
   _xlpm.group, Shelly[[#This Row],[Code]],
   _xlpm.matches, _xlfn._xlws.FILTER(LightSpec[S2], LEFT(LightSpec[From], LEN(_xlpm.group)) = _xlpm.group),
   IFERROR(
     INDEX(_xlpm.matches, MATCH(TRUE, _xlpm.matches&lt;&gt;"", 0)),
     ""
   )
)</f>
        <v>Master Dressing (Switch S1)</v>
      </c>
      <c r="H22" s="1" t="str" cm="1">
        <f t="array" ref="H22">_xlfn.LET(
   _xlpm.group, Shelly[[#This Row],[Code]],
   _xlpm.matches, _xlfn._xlws.FILTER(LightSpec[S3], LEFT(LightSpec[From], LEN(_xlpm.group)) = _xlpm.group),
   IFERROR(
     INDEX(_xlpm.matches, MATCH(TRUE, _xlpm.matches&lt;&gt;"", 0)),
     ""
   )
)</f>
        <v>Master Dressing (Switch S1)</v>
      </c>
      <c r="I22" s="1" t="str" cm="1">
        <f t="array" ref="I22">_xlfn.LET(
   _xlpm.group, Shelly[[#This Row],[Code]],
   _xlpm.matches, _xlfn._xlws.FILTER(LightSpec[S4], LEFT(LightSpec[From], LEN(_xlpm.group)) = _xlpm.group),
   IFERROR(
     INDEX(_xlpm.matches, MATCH(TRUE, _xlpm.matches&lt;&gt;"", 0)),
     ""
   )
)</f>
        <v>Master Dressing (Switch S1)</v>
      </c>
      <c r="J22" s="1" t="str" cm="1">
        <f t="array" ref="J22">_xlfn.XLOOKUP(_xlfn.XLOOKUP(Shelly[[#This Row],[Code]]&amp; Shelly[[#Headers],[O1]], LightSpec[From],LightSpec[Room], "No room"), Rooms[Code],Rooms[Room], "Empty") &amp; _xlfn.XLOOKUP(Shelly[[#This Row],[Code]]&amp; Shelly[[#Headers],[O1]], LightSpec[From], " (" &amp;LightSpec[DiagNo] &amp; ")", "")</f>
        <v>Master Dressing (C1)</v>
      </c>
      <c r="K22" s="1" t="str" cm="1">
        <f t="array" ref="K22">_xlfn.XLOOKUP(_xlfn.XLOOKUP(Shelly[[#This Row],[Code]]&amp; Shelly[[#Headers],[O2]], LightSpec[From],LightSpec[Room], "No room"), Rooms[Code],Rooms[Room], "Empty") &amp; _xlfn.XLOOKUP(Shelly[[#This Row],[Code]]&amp; Shelly[[#Headers],[O2]], LightSpec[From], " (" &amp;LightSpec[DiagNo] &amp; ")", "")</f>
        <v>Master Dressing (C2)</v>
      </c>
      <c r="L22" s="1" t="str" cm="1">
        <f t="array" ref="L22">IF(LEFT(Shelly[[#This Row],[Code]])="D", "NA", _xlfn.XLOOKUP(_xlfn.XLOOKUP(Shelly[[#This Row],[Code]]&amp; Shelly[[#Headers],[O3]], LightSpec[From],LightSpec[Room], "No room"), Rooms[Code],Rooms[Room], "Empty") &amp; _xlfn.XLOOKUP(Shelly[[#This Row],[Code]]&amp; Shelly[[#Headers],[O3]], LightSpec[From]," (" &amp; LightSpec[DiagNo] &amp; ")", ""))</f>
        <v>NA</v>
      </c>
      <c r="M22" s="1" t="str" cm="1">
        <f t="array" ref="M22">IF(LEFT(Shelly[[#This Row],[Code]])="D", "NA", _xlfn.XLOOKUP(_xlfn.XLOOKUP(Shelly[[#This Row],[Code]]&amp; Shelly[[#Headers],[O4]], LightSpec[From],LightSpec[Room], "No room"), Rooms[Code],Rooms[Room], "Empty") &amp; _xlfn.XLOOKUP(Shelly[[#This Row],[Code]]&amp; Shelly[[#Headers],[O4]], LightSpec[From]," (" &amp; LightSpec[DiagNo] &amp; ")", ""))</f>
        <v>NA</v>
      </c>
    </row>
    <row r="23" spans="1:13" x14ac:dyDescent="0.25">
      <c r="A23" s="1" t="s">
        <v>415</v>
      </c>
      <c r="B23" s="1" t="str">
        <f>_xlfn.XLOOKUP(MID(Shelly[[#This Row],[Code]],1,1), Device[Code],Device[Device])</f>
        <v>Shelly Pro Dimmer D2PM</v>
      </c>
      <c r="C23" s="1" t="str">
        <f>MID(Shelly[[#This Row],[Code]],2,3)</f>
        <v>16</v>
      </c>
      <c r="D23" s="1" t="s">
        <v>617</v>
      </c>
      <c r="E23" s="1" t="str">
        <f>subnetStart&amp;_xlfn.XLOOKUP(Shelly[[#This Row],[Type]],IPConfig[Device],IPConfig[Start])+Shelly[[#This Row],[No]]-1</f>
        <v>192.168.10.26</v>
      </c>
      <c r="F23" s="1" t="str" cm="1">
        <f t="array" ref="F23">_xlfn.LET(
   _xlpm.group, Shelly[[#This Row],[Code]],
   _xlpm.matches, _xlfn._xlws.FILTER(LightSpec[S1], LEFT(LightSpec[From], LEN(_xlpm.group)) = _xlpm.group),
   IFERROR(
     INDEX(_xlpm.matches, MATCH(TRUE, _xlpm.matches&lt;&gt;"", 0)),
     ""
   )
)</f>
        <v>Master Dressing (Switch S2)</v>
      </c>
      <c r="G23" s="1" t="str" cm="1">
        <f t="array" ref="G23">_xlfn.LET(
   _xlpm.group, Shelly[[#This Row],[Code]],
   _xlpm.matches, _xlfn._xlws.FILTER(LightSpec[S2], LEFT(LightSpec[From], LEN(_xlpm.group)) = _xlpm.group),
   IFERROR(
     INDEX(_xlpm.matches, MATCH(TRUE, _xlpm.matches&lt;&gt;"", 0)),
     ""
   )
)</f>
        <v>Master Dressing (Switch S2)</v>
      </c>
      <c r="H23" s="1" t="str" cm="1">
        <f t="array" ref="H23">_xlfn.LET(
   _xlpm.group, Shelly[[#This Row],[Code]],
   _xlpm.matches, _xlfn._xlws.FILTER(LightSpec[S3], LEFT(LightSpec[From], LEN(_xlpm.group)) = _xlpm.group),
   IFERROR(
     INDEX(_xlpm.matches, MATCH(TRUE, _xlpm.matches&lt;&gt;"", 0)),
     ""
   )
)</f>
        <v>Master Dressing (Switch S2)</v>
      </c>
      <c r="I23" s="1" t="str" cm="1">
        <f t="array" ref="I23">_xlfn.LET(
   _xlpm.group, Shelly[[#This Row],[Code]],
   _xlpm.matches, _xlfn._xlws.FILTER(LightSpec[S4], LEFT(LightSpec[From], LEN(_xlpm.group)) = _xlpm.group),
   IFERROR(
     INDEX(_xlpm.matches, MATCH(TRUE, _xlpm.matches&lt;&gt;"", 0)),
     ""
   )
)</f>
        <v>Master Dressing (Switch S2)</v>
      </c>
      <c r="J23" s="1" t="str" cm="1">
        <f t="array" ref="J23">_xlfn.XLOOKUP(_xlfn.XLOOKUP(Shelly[[#This Row],[Code]]&amp; Shelly[[#Headers],[O1]], LightSpec[From],LightSpec[Room], "No room"), Rooms[Code],Rooms[Room], "Empty") &amp; _xlfn.XLOOKUP(Shelly[[#This Row],[Code]]&amp; Shelly[[#Headers],[O1]], LightSpec[From], " (" &amp;LightSpec[DiagNo] &amp; ")", "")</f>
        <v>Master Dressing (C3)</v>
      </c>
      <c r="K23" s="1" t="str" cm="1">
        <f t="array" ref="K23">_xlfn.XLOOKUP(_xlfn.XLOOKUP(Shelly[[#This Row],[Code]]&amp; Shelly[[#Headers],[O2]], LightSpec[From],LightSpec[Room], "No room"), Rooms[Code],Rooms[Room], "Empty") &amp; _xlfn.XLOOKUP(Shelly[[#This Row],[Code]]&amp; Shelly[[#Headers],[O2]], LightSpec[From], " (" &amp;LightSpec[DiagNo] &amp; ")", "")</f>
        <v>Master Ensuite (C1)</v>
      </c>
      <c r="L23" s="1" t="str" cm="1">
        <f t="array" ref="L23">IF(LEFT(Shelly[[#This Row],[Code]])="D", "NA", _xlfn.XLOOKUP(_xlfn.XLOOKUP(Shelly[[#This Row],[Code]]&amp; Shelly[[#Headers],[O3]], LightSpec[From],LightSpec[Room], "No room"), Rooms[Code],Rooms[Room], "Empty") &amp; _xlfn.XLOOKUP(Shelly[[#This Row],[Code]]&amp; Shelly[[#Headers],[O3]], LightSpec[From]," (" &amp; LightSpec[DiagNo] &amp; ")", ""))</f>
        <v>NA</v>
      </c>
      <c r="M23" s="1" t="str" cm="1">
        <f t="array" ref="M23">IF(LEFT(Shelly[[#This Row],[Code]])="D", "NA", _xlfn.XLOOKUP(_xlfn.XLOOKUP(Shelly[[#This Row],[Code]]&amp; Shelly[[#Headers],[O4]], LightSpec[From],LightSpec[Room], "No room"), Rooms[Code],Rooms[Room], "Empty") &amp; _xlfn.XLOOKUP(Shelly[[#This Row],[Code]]&amp; Shelly[[#Headers],[O4]], LightSpec[From]," (" &amp; LightSpec[DiagNo] &amp; ")", ""))</f>
        <v>NA</v>
      </c>
    </row>
    <row r="24" spans="1:13" x14ac:dyDescent="0.25">
      <c r="A24" s="1" t="s">
        <v>416</v>
      </c>
      <c r="B24" s="1" t="str">
        <f>_xlfn.XLOOKUP(MID(Shelly[[#This Row],[Code]],1,1), Device[Code],Device[Device])</f>
        <v>Shelly Pro Dimmer D2PM</v>
      </c>
      <c r="C24" s="1" t="str">
        <f>MID(Shelly[[#This Row],[Code]],2,3)</f>
        <v>17</v>
      </c>
      <c r="D24" s="1" t="s">
        <v>618</v>
      </c>
      <c r="E24" s="1" t="str">
        <f>subnetStart&amp;_xlfn.XLOOKUP(Shelly[[#This Row],[Type]],IPConfig[Device],IPConfig[Start])+Shelly[[#This Row],[No]]-1</f>
        <v>192.168.10.27</v>
      </c>
      <c r="F24" s="1" t="str" cm="1">
        <f t="array" ref="F24">_xlfn.LET(
   _xlpm.group, Shelly[[#This Row],[Code]],
   _xlpm.matches, _xlfn._xlws.FILTER(LightSpec[S1], LEFT(LightSpec[From], LEN(_xlpm.group)) = _xlpm.group),
   IFERROR(
     INDEX(_xlpm.matches, MATCH(TRUE, _xlpm.matches&lt;&gt;"", 0)),
     ""
   )
)</f>
        <v/>
      </c>
      <c r="G24" s="1" t="str" cm="1">
        <f t="array" ref="G24">_xlfn.LET(
   _xlpm.group, Shelly[[#This Row],[Code]],
   _xlpm.matches, _xlfn._xlws.FILTER(LightSpec[S2], LEFT(LightSpec[From], LEN(_xlpm.group)) = _xlpm.group),
   IFERROR(
     INDEX(_xlpm.matches, MATCH(TRUE, _xlpm.matches&lt;&gt;"", 0)),
     ""
   )
)</f>
        <v/>
      </c>
      <c r="H24" s="1" t="str" cm="1">
        <f t="array" ref="H24">_xlfn.LET(
   _xlpm.group, Shelly[[#This Row],[Code]],
   _xlpm.matches, _xlfn._xlws.FILTER(LightSpec[S3], LEFT(LightSpec[From], LEN(_xlpm.group)) = _xlpm.group),
   IFERROR(
     INDEX(_xlpm.matches, MATCH(TRUE, _xlpm.matches&lt;&gt;"", 0)),
     ""
   )
)</f>
        <v/>
      </c>
      <c r="I24" s="1" t="str" cm="1">
        <f t="array" ref="I24">_xlfn.LET(
   _xlpm.group, Shelly[[#This Row],[Code]],
   _xlpm.matches, _xlfn._xlws.FILTER(LightSpec[S4], LEFT(LightSpec[From], LEN(_xlpm.group)) = _xlpm.group),
   IFERROR(
     INDEX(_xlpm.matches, MATCH(TRUE, _xlpm.matches&lt;&gt;"", 0)),
     ""
   )
)</f>
        <v/>
      </c>
      <c r="J24" s="1" t="str" cm="1">
        <f t="array" ref="J24">_xlfn.XLOOKUP(_xlfn.XLOOKUP(Shelly[[#This Row],[Code]]&amp; Shelly[[#Headers],[O1]], LightSpec[From],LightSpec[Room], "No room"), Rooms[Code],Rooms[Room], "Empty") &amp; _xlfn.XLOOKUP(Shelly[[#This Row],[Code]]&amp; Shelly[[#Headers],[O1]], LightSpec[From], " (" &amp;LightSpec[DiagNo] &amp; ")", "")</f>
        <v>Master Ensuite (C2)</v>
      </c>
      <c r="K24" s="1" t="str" cm="1">
        <f t="array" ref="K24">_xlfn.XLOOKUP(_xlfn.XLOOKUP(Shelly[[#This Row],[Code]]&amp; Shelly[[#Headers],[O2]], LightSpec[From],LightSpec[Room], "No room"), Rooms[Code],Rooms[Room], "Empty") &amp; _xlfn.XLOOKUP(Shelly[[#This Row],[Code]]&amp; Shelly[[#Headers],[O2]], LightSpec[From], " (" &amp;LightSpec[DiagNo] &amp; ")", "")</f>
        <v>Master Ensuite (C3)</v>
      </c>
      <c r="L24" s="1" t="str" cm="1">
        <f t="array" ref="L24">IF(LEFT(Shelly[[#This Row],[Code]])="D", "NA", _xlfn.XLOOKUP(_xlfn.XLOOKUP(Shelly[[#This Row],[Code]]&amp; Shelly[[#Headers],[O3]], LightSpec[From],LightSpec[Room], "No room"), Rooms[Code],Rooms[Room], "Empty") &amp; _xlfn.XLOOKUP(Shelly[[#This Row],[Code]]&amp; Shelly[[#Headers],[O3]], LightSpec[From]," (" &amp; LightSpec[DiagNo] &amp; ")", ""))</f>
        <v>NA</v>
      </c>
      <c r="M24" s="1" t="str" cm="1">
        <f t="array" ref="M24">IF(LEFT(Shelly[[#This Row],[Code]])="D", "NA", _xlfn.XLOOKUP(_xlfn.XLOOKUP(Shelly[[#This Row],[Code]]&amp; Shelly[[#Headers],[O4]], LightSpec[From],LightSpec[Room], "No room"), Rooms[Code],Rooms[Room], "Empty") &amp; _xlfn.XLOOKUP(Shelly[[#This Row],[Code]]&amp; Shelly[[#Headers],[O4]], LightSpec[From]," (" &amp; LightSpec[DiagNo] &amp; ")", ""))</f>
        <v>NA</v>
      </c>
    </row>
    <row r="25" spans="1:13" x14ac:dyDescent="0.25">
      <c r="A25" s="1" t="s">
        <v>417</v>
      </c>
      <c r="B25" s="1" t="str">
        <f>_xlfn.XLOOKUP(MID(Shelly[[#This Row],[Code]],1,1), Device[Code],Device[Device])</f>
        <v>Shelly Pro Dimmer D2PM</v>
      </c>
      <c r="C25" s="1" t="str">
        <f>MID(Shelly[[#This Row],[Code]],2,3)</f>
        <v>18</v>
      </c>
      <c r="D25" s="1" t="s">
        <v>619</v>
      </c>
      <c r="E25" s="1" t="str">
        <f>subnetStart&amp;_xlfn.XLOOKUP(Shelly[[#This Row],[Type]],IPConfig[Device],IPConfig[Start])+Shelly[[#This Row],[No]]-1</f>
        <v>192.168.10.28</v>
      </c>
      <c r="F25" s="1" t="str" cm="1">
        <f t="array" ref="F25">_xlfn.LET(
   _xlpm.group, Shelly[[#This Row],[Code]],
   _xlpm.matches, _xlfn._xlws.FILTER(LightSpec[S1], LEFT(LightSpec[From], LEN(_xlpm.group)) = _xlpm.group),
   IFERROR(
     INDEX(_xlpm.matches, MATCH(TRUE, _xlpm.matches&lt;&gt;"", 0)),
     ""
   )
)</f>
        <v/>
      </c>
      <c r="G25" s="1" t="str" cm="1">
        <f t="array" ref="G25">_xlfn.LET(
   _xlpm.group, Shelly[[#This Row],[Code]],
   _xlpm.matches, _xlfn._xlws.FILTER(LightSpec[S2], LEFT(LightSpec[From], LEN(_xlpm.group)) = _xlpm.group),
   IFERROR(
     INDEX(_xlpm.matches, MATCH(TRUE, _xlpm.matches&lt;&gt;"", 0)),
     ""
   )
)</f>
        <v/>
      </c>
      <c r="H25" s="1" t="str" cm="1">
        <f t="array" ref="H25">_xlfn.LET(
   _xlpm.group, Shelly[[#This Row],[Code]],
   _xlpm.matches, _xlfn._xlws.FILTER(LightSpec[S3], LEFT(LightSpec[From], LEN(_xlpm.group)) = _xlpm.group),
   IFERROR(
     INDEX(_xlpm.matches, MATCH(TRUE, _xlpm.matches&lt;&gt;"", 0)),
     ""
   )
)</f>
        <v/>
      </c>
      <c r="I25" s="1" t="str" cm="1">
        <f t="array" ref="I25">_xlfn.LET(
   _xlpm.group, Shelly[[#This Row],[Code]],
   _xlpm.matches, _xlfn._xlws.FILTER(LightSpec[S4], LEFT(LightSpec[From], LEN(_xlpm.group)) = _xlpm.group),
   IFERROR(
     INDEX(_xlpm.matches, MATCH(TRUE, _xlpm.matches&lt;&gt;"", 0)),
     ""
   )
)</f>
        <v/>
      </c>
      <c r="J25" s="1" t="str" cm="1">
        <f t="array" ref="J25">_xlfn.XLOOKUP(_xlfn.XLOOKUP(Shelly[[#This Row],[Code]]&amp; Shelly[[#Headers],[O1]], LightSpec[From],LightSpec[Room], "No room"), Rooms[Code],Rooms[Room], "Empty") &amp; _xlfn.XLOOKUP(Shelly[[#This Row],[Code]]&amp; Shelly[[#Headers],[O1]], LightSpec[From], " (" &amp;LightSpec[DiagNo] &amp; ")", "")</f>
        <v>Master Ensuite (C4)</v>
      </c>
      <c r="K25" s="1" t="str" cm="1">
        <f t="array" ref="K25">_xlfn.XLOOKUP(_xlfn.XLOOKUP(Shelly[[#This Row],[Code]]&amp; Shelly[[#Headers],[O2]], LightSpec[From],LightSpec[Room], "No room"), Rooms[Code],Rooms[Room], "Empty") &amp; _xlfn.XLOOKUP(Shelly[[#This Row],[Code]]&amp; Shelly[[#Headers],[O2]], LightSpec[From], " (" &amp;LightSpec[DiagNo] &amp; ")", "")</f>
        <v>Master Bed (C1)</v>
      </c>
      <c r="L25" s="1" t="str" cm="1">
        <f t="array" ref="L25">IF(LEFT(Shelly[[#This Row],[Code]])="D", "NA", _xlfn.XLOOKUP(_xlfn.XLOOKUP(Shelly[[#This Row],[Code]]&amp; Shelly[[#Headers],[O3]], LightSpec[From],LightSpec[Room], "No room"), Rooms[Code],Rooms[Room], "Empty") &amp; _xlfn.XLOOKUP(Shelly[[#This Row],[Code]]&amp; Shelly[[#Headers],[O3]], LightSpec[From]," (" &amp; LightSpec[DiagNo] &amp; ")", ""))</f>
        <v>NA</v>
      </c>
      <c r="M25" s="1" t="str" cm="1">
        <f t="array" ref="M25">IF(LEFT(Shelly[[#This Row],[Code]])="D", "NA", _xlfn.XLOOKUP(_xlfn.XLOOKUP(Shelly[[#This Row],[Code]]&amp; Shelly[[#Headers],[O4]], LightSpec[From],LightSpec[Room], "No room"), Rooms[Code],Rooms[Room], "Empty") &amp; _xlfn.XLOOKUP(Shelly[[#This Row],[Code]]&amp; Shelly[[#Headers],[O4]], LightSpec[From]," (" &amp; LightSpec[DiagNo] &amp; ")", ""))</f>
        <v>NA</v>
      </c>
    </row>
    <row r="26" spans="1:13" x14ac:dyDescent="0.25">
      <c r="A26" s="1" t="s">
        <v>471</v>
      </c>
      <c r="B26" s="1" t="str">
        <f>_xlfn.XLOOKUP(MID(Shelly[[#This Row],[Code]],1,1), Device[Code],Device[Device])</f>
        <v>Shelly Pro Dimmer D2PM</v>
      </c>
      <c r="C26" s="1" t="str">
        <f>MID(Shelly[[#This Row],[Code]],2,3)</f>
        <v>19</v>
      </c>
      <c r="D26" s="1" t="s">
        <v>620</v>
      </c>
      <c r="E26" s="1" t="str">
        <f>subnetStart&amp;_xlfn.XLOOKUP(Shelly[[#This Row],[Type]],IPConfig[Device],IPConfig[Start])+Shelly[[#This Row],[No]]-1</f>
        <v>192.168.10.29</v>
      </c>
      <c r="F26" s="1" t="str" cm="1">
        <f t="array" ref="F26">_xlfn.LET(
   _xlpm.group, Shelly[[#This Row],[Code]],
   _xlpm.matches, _xlfn._xlws.FILTER(LightSpec[S1], LEFT(LightSpec[From], LEN(_xlpm.group)) = _xlpm.group),
   IFERROR(
     INDEX(_xlpm.matches, MATCH(TRUE, _xlpm.matches&lt;&gt;"", 0)),
     ""
   )
)</f>
        <v>Master Bed (Switch S1)</v>
      </c>
      <c r="G26" s="1" t="str" cm="1">
        <f t="array" ref="G26">_xlfn.LET(
   _xlpm.group, Shelly[[#This Row],[Code]],
   _xlpm.matches, _xlfn._xlws.FILTER(LightSpec[S2], LEFT(LightSpec[From], LEN(_xlpm.group)) = _xlpm.group),
   IFERROR(
     INDEX(_xlpm.matches, MATCH(TRUE, _xlpm.matches&lt;&gt;"", 0)),
     ""
   )
)</f>
        <v>Master Bed (Switch S1)</v>
      </c>
      <c r="H26" s="1" t="str" cm="1">
        <f t="array" ref="H26">_xlfn.LET(
   _xlpm.group, Shelly[[#This Row],[Code]],
   _xlpm.matches, _xlfn._xlws.FILTER(LightSpec[S3], LEFT(LightSpec[From], LEN(_xlpm.group)) = _xlpm.group),
   IFERROR(
     INDEX(_xlpm.matches, MATCH(TRUE, _xlpm.matches&lt;&gt;"", 0)),
     ""
   )
)</f>
        <v>Master Bed (Switch S1)</v>
      </c>
      <c r="I26" s="1" t="str" cm="1">
        <f t="array" ref="I26">_xlfn.LET(
   _xlpm.group, Shelly[[#This Row],[Code]],
   _xlpm.matches, _xlfn._xlws.FILTER(LightSpec[S4], LEFT(LightSpec[From], LEN(_xlpm.group)) = _xlpm.group),
   IFERROR(
     INDEX(_xlpm.matches, MATCH(TRUE, _xlpm.matches&lt;&gt;"", 0)),
     ""
   )
)</f>
        <v>Master Bed (Switch S1)</v>
      </c>
      <c r="J26" s="1" t="str" cm="1">
        <f t="array" ref="J26">_xlfn.XLOOKUP(_xlfn.XLOOKUP(Shelly[[#This Row],[Code]]&amp; Shelly[[#Headers],[O1]], LightSpec[From],LightSpec[Room], "No room"), Rooms[Code],Rooms[Room], "Empty") &amp; _xlfn.XLOOKUP(Shelly[[#This Row],[Code]]&amp; Shelly[[#Headers],[O1]], LightSpec[From], " (" &amp;LightSpec[DiagNo] &amp; ")", "")</f>
        <v>Master Bed (C2)</v>
      </c>
      <c r="K26" s="1" t="str" cm="1">
        <f t="array" ref="K26">_xlfn.XLOOKUP(_xlfn.XLOOKUP(Shelly[[#This Row],[Code]]&amp; Shelly[[#Headers],[O2]], LightSpec[From],LightSpec[Room], "No room"), Rooms[Code],Rooms[Room], "Empty") &amp; _xlfn.XLOOKUP(Shelly[[#This Row],[Code]]&amp; Shelly[[#Headers],[O2]], LightSpec[From], " (" &amp;LightSpec[DiagNo] &amp; ")", "")</f>
        <v>Master Bed (C3)</v>
      </c>
      <c r="L26" s="1" t="str" cm="1">
        <f t="array" ref="L26">IF(LEFT(Shelly[[#This Row],[Code]])="D", "NA", _xlfn.XLOOKUP(_xlfn.XLOOKUP(Shelly[[#This Row],[Code]]&amp; Shelly[[#Headers],[O3]], LightSpec[From],LightSpec[Room], "No room"), Rooms[Code],Rooms[Room], "Empty") &amp; _xlfn.XLOOKUP(Shelly[[#This Row],[Code]]&amp; Shelly[[#Headers],[O3]], LightSpec[From]," (" &amp; LightSpec[DiagNo] &amp; ")", ""))</f>
        <v>NA</v>
      </c>
      <c r="M26" s="1" t="str" cm="1">
        <f t="array" ref="M26">IF(LEFT(Shelly[[#This Row],[Code]])="D", "NA", _xlfn.XLOOKUP(_xlfn.XLOOKUP(Shelly[[#This Row],[Code]]&amp; Shelly[[#Headers],[O4]], LightSpec[From],LightSpec[Room], "No room"), Rooms[Code],Rooms[Room], "Empty") &amp; _xlfn.XLOOKUP(Shelly[[#This Row],[Code]]&amp; Shelly[[#Headers],[O4]], LightSpec[From]," (" &amp; LightSpec[DiagNo] &amp; ")", ""))</f>
        <v>NA</v>
      </c>
    </row>
    <row r="27" spans="1:13" x14ac:dyDescent="0.25">
      <c r="A27" s="1" t="s">
        <v>472</v>
      </c>
      <c r="B27" s="1" t="str">
        <f>_xlfn.XLOOKUP(MID(Shelly[[#This Row],[Code]],1,1), Device[Code],Device[Device])</f>
        <v>Shelly Pro Dimmer D2PM</v>
      </c>
      <c r="C27" s="1" t="str">
        <f>MID(Shelly[[#This Row],[Code]],2,3)</f>
        <v>20</v>
      </c>
      <c r="D27" s="1" t="s">
        <v>621</v>
      </c>
      <c r="E27" s="1" t="str">
        <f>subnetStart&amp;_xlfn.XLOOKUP(Shelly[[#This Row],[Type]],IPConfig[Device],IPConfig[Start])+Shelly[[#This Row],[No]]-1</f>
        <v>192.168.10.30</v>
      </c>
      <c r="F27" s="1" t="str" cm="1">
        <f t="array" ref="F27">_xlfn.LET(
   _xlpm.group, Shelly[[#This Row],[Code]],
   _xlpm.matches, _xlfn._xlws.FILTER(LightSpec[S1], LEFT(LightSpec[From], LEN(_xlpm.group)) = _xlpm.group),
   IFERROR(
     INDEX(_xlpm.matches, MATCH(TRUE, _xlpm.matches&lt;&gt;"", 0)),
     ""
   )
)</f>
        <v/>
      </c>
      <c r="G27" s="1" t="str" cm="1">
        <f t="array" ref="G27">_xlfn.LET(
   _xlpm.group, Shelly[[#This Row],[Code]],
   _xlpm.matches, _xlfn._xlws.FILTER(LightSpec[S2], LEFT(LightSpec[From], LEN(_xlpm.group)) = _xlpm.group),
   IFERROR(
     INDEX(_xlpm.matches, MATCH(TRUE, _xlpm.matches&lt;&gt;"", 0)),
     ""
   )
)</f>
        <v/>
      </c>
      <c r="H27" s="1" t="str" cm="1">
        <f t="array" ref="H27">_xlfn.LET(
   _xlpm.group, Shelly[[#This Row],[Code]],
   _xlpm.matches, _xlfn._xlws.FILTER(LightSpec[S3], LEFT(LightSpec[From], LEN(_xlpm.group)) = _xlpm.group),
   IFERROR(
     INDEX(_xlpm.matches, MATCH(TRUE, _xlpm.matches&lt;&gt;"", 0)),
     ""
   )
)</f>
        <v/>
      </c>
      <c r="I27" s="1" t="str" cm="1">
        <f t="array" ref="I27">_xlfn.LET(
   _xlpm.group, Shelly[[#This Row],[Code]],
   _xlpm.matches, _xlfn._xlws.FILTER(LightSpec[S4], LEFT(LightSpec[From], LEN(_xlpm.group)) = _xlpm.group),
   IFERROR(
     INDEX(_xlpm.matches, MATCH(TRUE, _xlpm.matches&lt;&gt;"", 0)),
     ""
   )
)</f>
        <v/>
      </c>
      <c r="J27" s="1" t="str" cm="1">
        <f t="array" ref="J27">_xlfn.XLOOKUP(_xlfn.XLOOKUP(Shelly[[#This Row],[Code]]&amp; Shelly[[#Headers],[O1]], LightSpec[From],LightSpec[Room], "No room"), Rooms[Code],Rooms[Room], "Empty") &amp; _xlfn.XLOOKUP(Shelly[[#This Row],[Code]]&amp; Shelly[[#Headers],[O1]], LightSpec[From], " (" &amp;LightSpec[DiagNo] &amp; ")", "")</f>
        <v>Master Bed (C5)</v>
      </c>
      <c r="K27" s="1" t="str" cm="1">
        <f t="array" ref="K27">_xlfn.XLOOKUP(_xlfn.XLOOKUP(Shelly[[#This Row],[Code]]&amp; Shelly[[#Headers],[O2]], LightSpec[From],LightSpec[Room], "No room"), Rooms[Code],Rooms[Room], "Empty") &amp; _xlfn.XLOOKUP(Shelly[[#This Row],[Code]]&amp; Shelly[[#Headers],[O2]], LightSpec[From], " (" &amp;LightSpec[DiagNo] &amp; ")", "")</f>
        <v>Master Bed (C6)</v>
      </c>
      <c r="L27" s="1" t="str" cm="1">
        <f t="array" ref="L27">IF(LEFT(Shelly[[#This Row],[Code]])="D", "NA", _xlfn.XLOOKUP(_xlfn.XLOOKUP(Shelly[[#This Row],[Code]]&amp; Shelly[[#Headers],[O3]], LightSpec[From],LightSpec[Room], "No room"), Rooms[Code],Rooms[Room], "Empty") &amp; _xlfn.XLOOKUP(Shelly[[#This Row],[Code]]&amp; Shelly[[#Headers],[O3]], LightSpec[From]," (" &amp; LightSpec[DiagNo] &amp; ")", ""))</f>
        <v>NA</v>
      </c>
      <c r="M27" s="1" t="str" cm="1">
        <f t="array" ref="M27">IF(LEFT(Shelly[[#This Row],[Code]])="D", "NA", _xlfn.XLOOKUP(_xlfn.XLOOKUP(Shelly[[#This Row],[Code]]&amp; Shelly[[#Headers],[O4]], LightSpec[From],LightSpec[Room], "No room"), Rooms[Code],Rooms[Room], "Empty") &amp; _xlfn.XLOOKUP(Shelly[[#This Row],[Code]]&amp; Shelly[[#Headers],[O4]], LightSpec[From]," (" &amp; LightSpec[DiagNo] &amp; ")", ""))</f>
        <v>NA</v>
      </c>
    </row>
    <row r="28" spans="1:13" x14ac:dyDescent="0.25">
      <c r="A28" s="1" t="s">
        <v>473</v>
      </c>
      <c r="B28" s="1" t="str">
        <f>_xlfn.XLOOKUP(MID(Shelly[[#This Row],[Code]],1,1), Device[Code],Device[Device])</f>
        <v>Shelly Pro Dimmer D2PM</v>
      </c>
      <c r="C28" s="1" t="str">
        <f>MID(Shelly[[#This Row],[Code]],2,3)</f>
        <v>21</v>
      </c>
      <c r="D28" s="1" t="s">
        <v>625</v>
      </c>
      <c r="E28" s="1" t="str">
        <f>subnetStart&amp;_xlfn.XLOOKUP(Shelly[[#This Row],[Type]],IPConfig[Device],IPConfig[Start])+Shelly[[#This Row],[No]]-1</f>
        <v>192.168.10.31</v>
      </c>
      <c r="F28" s="1" t="str" cm="1">
        <f t="array" ref="F28">_xlfn.LET(
   _xlpm.group, Shelly[[#This Row],[Code]],
   _xlpm.matches, _xlfn._xlws.FILTER(LightSpec[S1], LEFT(LightSpec[From], LEN(_xlpm.group)) = _xlpm.group),
   IFERROR(
     INDEX(_xlpm.matches, MATCH(TRUE, _xlpm.matches&lt;&gt;"", 0)),
     ""
   )
)</f>
        <v>Bed 2 (Switch S1)</v>
      </c>
      <c r="G28" s="1" t="str" cm="1">
        <f t="array" ref="G28">_xlfn.LET(
   _xlpm.group, Shelly[[#This Row],[Code]],
   _xlpm.matches, _xlfn._xlws.FILTER(LightSpec[S2], LEFT(LightSpec[From], LEN(_xlpm.group)) = _xlpm.group),
   IFERROR(
     INDEX(_xlpm.matches, MATCH(TRUE, _xlpm.matches&lt;&gt;"", 0)),
     ""
   )
)</f>
        <v>Bed 2 (Switch S1)</v>
      </c>
      <c r="H28" s="1" t="str" cm="1">
        <f t="array" ref="H28">_xlfn.LET(
   _xlpm.group, Shelly[[#This Row],[Code]],
   _xlpm.matches, _xlfn._xlws.FILTER(LightSpec[S3], LEFT(LightSpec[From], LEN(_xlpm.group)) = _xlpm.group),
   IFERROR(
     INDEX(_xlpm.matches, MATCH(TRUE, _xlpm.matches&lt;&gt;"", 0)),
     ""
   )
)</f>
        <v>Bed 2 (Switch S2)</v>
      </c>
      <c r="I28" s="1" t="str" cm="1">
        <f t="array" ref="I28">_xlfn.LET(
   _xlpm.group, Shelly[[#This Row],[Code]],
   _xlpm.matches, _xlfn._xlws.FILTER(LightSpec[S4], LEFT(LightSpec[From], LEN(_xlpm.group)) = _xlpm.group),
   IFERROR(
     INDEX(_xlpm.matches, MATCH(TRUE, _xlpm.matches&lt;&gt;"", 0)),
     ""
   )
)</f>
        <v>Bed 2 (Switch S2)</v>
      </c>
      <c r="J28" s="1" t="str" cm="1">
        <f t="array" ref="J28">_xlfn.XLOOKUP(_xlfn.XLOOKUP(Shelly[[#This Row],[Code]]&amp; Shelly[[#Headers],[O1]], LightSpec[From],LightSpec[Room], "No room"), Rooms[Code],Rooms[Room], "Empty") &amp; _xlfn.XLOOKUP(Shelly[[#This Row],[Code]]&amp; Shelly[[#Headers],[O1]], LightSpec[From], " (" &amp;LightSpec[DiagNo] &amp; ")", "")</f>
        <v>Master Bed (BC3)</v>
      </c>
      <c r="K28" s="1" t="str" cm="1">
        <f t="array" ref="K28">_xlfn.XLOOKUP(_xlfn.XLOOKUP(Shelly[[#This Row],[Code]]&amp; Shelly[[#Headers],[O2]], LightSpec[From],LightSpec[Room], "No room"), Rooms[Code],Rooms[Room], "Empty") &amp; _xlfn.XLOOKUP(Shelly[[#This Row],[Code]]&amp; Shelly[[#Headers],[O2]], LightSpec[From], " (" &amp;LightSpec[DiagNo] &amp; ")", "")</f>
        <v>Bed 2 (C1)</v>
      </c>
      <c r="L28" s="1" t="str" cm="1">
        <f t="array" ref="L28">IF(LEFT(Shelly[[#This Row],[Code]])="D", "NA", _xlfn.XLOOKUP(_xlfn.XLOOKUP(Shelly[[#This Row],[Code]]&amp; Shelly[[#Headers],[O3]], LightSpec[From],LightSpec[Room], "No room"), Rooms[Code],Rooms[Room], "Empty") &amp; _xlfn.XLOOKUP(Shelly[[#This Row],[Code]]&amp; Shelly[[#Headers],[O3]], LightSpec[From]," (" &amp; LightSpec[DiagNo] &amp; ")", ""))</f>
        <v>NA</v>
      </c>
      <c r="M28" s="1" t="str" cm="1">
        <f t="array" ref="M28">IF(LEFT(Shelly[[#This Row],[Code]])="D", "NA", _xlfn.XLOOKUP(_xlfn.XLOOKUP(Shelly[[#This Row],[Code]]&amp; Shelly[[#Headers],[O4]], LightSpec[From],LightSpec[Room], "No room"), Rooms[Code],Rooms[Room], "Empty") &amp; _xlfn.XLOOKUP(Shelly[[#This Row],[Code]]&amp; Shelly[[#Headers],[O4]], LightSpec[From]," (" &amp; LightSpec[DiagNo] &amp; ")", ""))</f>
        <v>NA</v>
      </c>
    </row>
    <row r="29" spans="1:13" x14ac:dyDescent="0.25">
      <c r="A29" s="1" t="s">
        <v>474</v>
      </c>
      <c r="B29" s="1" t="str">
        <f>_xlfn.XLOOKUP(MID(Shelly[[#This Row],[Code]],1,1), Device[Code],Device[Device])</f>
        <v>Shelly Pro Dimmer D2PM</v>
      </c>
      <c r="C29" s="1" t="str">
        <f>MID(Shelly[[#This Row],[Code]],2,3)</f>
        <v>22</v>
      </c>
      <c r="D29" s="1" t="s">
        <v>626</v>
      </c>
      <c r="E29" s="1" t="str">
        <f>subnetStart&amp;_xlfn.XLOOKUP(Shelly[[#This Row],[Type]],IPConfig[Device],IPConfig[Start])+Shelly[[#This Row],[No]]-1</f>
        <v>192.168.10.32</v>
      </c>
      <c r="F29" s="1" t="str" cm="1">
        <f t="array" ref="F29">_xlfn.LET(
   _xlpm.group, Shelly[[#This Row],[Code]],
   _xlpm.matches, _xlfn._xlws.FILTER(LightSpec[S1], LEFT(LightSpec[From], LEN(_xlpm.group)) = _xlpm.group),
   IFERROR(
     INDEX(_xlpm.matches, MATCH(TRUE, _xlpm.matches&lt;&gt;"", 0)),
     ""
   )
)</f>
        <v/>
      </c>
      <c r="G29" s="1" t="str" cm="1">
        <f t="array" ref="G29">_xlfn.LET(
   _xlpm.group, Shelly[[#This Row],[Code]],
   _xlpm.matches, _xlfn._xlws.FILTER(LightSpec[S2], LEFT(LightSpec[From], LEN(_xlpm.group)) = _xlpm.group),
   IFERROR(
     INDEX(_xlpm.matches, MATCH(TRUE, _xlpm.matches&lt;&gt;"", 0)),
     ""
   )
)</f>
        <v/>
      </c>
      <c r="H29" s="1" t="str" cm="1">
        <f t="array" ref="H29">_xlfn.LET(
   _xlpm.group, Shelly[[#This Row],[Code]],
   _xlpm.matches, _xlfn._xlws.FILTER(LightSpec[S3], LEFT(LightSpec[From], LEN(_xlpm.group)) = _xlpm.group),
   IFERROR(
     INDEX(_xlpm.matches, MATCH(TRUE, _xlpm.matches&lt;&gt;"", 0)),
     ""
   )
)</f>
        <v/>
      </c>
      <c r="I29" s="1" t="str" cm="1">
        <f t="array" ref="I29">_xlfn.LET(
   _xlpm.group, Shelly[[#This Row],[Code]],
   _xlpm.matches, _xlfn._xlws.FILTER(LightSpec[S4], LEFT(LightSpec[From], LEN(_xlpm.group)) = _xlpm.group),
   IFERROR(
     INDEX(_xlpm.matches, MATCH(TRUE, _xlpm.matches&lt;&gt;"", 0)),
     ""
   )
)</f>
        <v/>
      </c>
      <c r="J29" s="1" t="str" cm="1">
        <f t="array" ref="J29">_xlfn.XLOOKUP(_xlfn.XLOOKUP(Shelly[[#This Row],[Code]]&amp; Shelly[[#Headers],[O1]], LightSpec[From],LightSpec[Room], "No room"), Rooms[Code],Rooms[Room], "Empty") &amp; _xlfn.XLOOKUP(Shelly[[#This Row],[Code]]&amp; Shelly[[#Headers],[O1]], LightSpec[From], " (" &amp;LightSpec[DiagNo] &amp; ")", "")</f>
        <v>Bed 2 (C3)</v>
      </c>
      <c r="K29" s="1" t="str" cm="1">
        <f t="array" ref="K29">_xlfn.XLOOKUP(_xlfn.XLOOKUP(Shelly[[#This Row],[Code]]&amp; Shelly[[#Headers],[O2]], LightSpec[From],LightSpec[Room], "No room"), Rooms[Code],Rooms[Room], "Empty") &amp; _xlfn.XLOOKUP(Shelly[[#This Row],[Code]]&amp; Shelly[[#Headers],[O2]], LightSpec[From], " (" &amp;LightSpec[DiagNo] &amp; ")", "")</f>
        <v>Ensuite 2 (C1)</v>
      </c>
      <c r="L29" s="1" t="str" cm="1">
        <f t="array" ref="L29">IF(LEFT(Shelly[[#This Row],[Code]])="D", "NA", _xlfn.XLOOKUP(_xlfn.XLOOKUP(Shelly[[#This Row],[Code]]&amp; Shelly[[#Headers],[O3]], LightSpec[From],LightSpec[Room], "No room"), Rooms[Code],Rooms[Room], "Empty") &amp; _xlfn.XLOOKUP(Shelly[[#This Row],[Code]]&amp; Shelly[[#Headers],[O3]], LightSpec[From]," (" &amp; LightSpec[DiagNo] &amp; ")", ""))</f>
        <v>NA</v>
      </c>
      <c r="M29" s="1" t="str" cm="1">
        <f t="array" ref="M29">IF(LEFT(Shelly[[#This Row],[Code]])="D", "NA", _xlfn.XLOOKUP(_xlfn.XLOOKUP(Shelly[[#This Row],[Code]]&amp; Shelly[[#Headers],[O4]], LightSpec[From],LightSpec[Room], "No room"), Rooms[Code],Rooms[Room], "Empty") &amp; _xlfn.XLOOKUP(Shelly[[#This Row],[Code]]&amp; Shelly[[#Headers],[O4]], LightSpec[From]," (" &amp; LightSpec[DiagNo] &amp; ")", ""))</f>
        <v>NA</v>
      </c>
    </row>
    <row r="30" spans="1:13" x14ac:dyDescent="0.25">
      <c r="A30" s="1" t="s">
        <v>475</v>
      </c>
      <c r="B30" s="1" t="str">
        <f>_xlfn.XLOOKUP(MID(Shelly[[#This Row],[Code]],1,1), Device[Code],Device[Device])</f>
        <v>Shelly Pro Dimmer D2PM</v>
      </c>
      <c r="C30" s="1" t="str">
        <f>MID(Shelly[[#This Row],[Code]],2,3)</f>
        <v>23</v>
      </c>
      <c r="D30" s="1" t="s">
        <v>627</v>
      </c>
      <c r="E30" s="1" t="str">
        <f>subnetStart&amp;_xlfn.XLOOKUP(Shelly[[#This Row],[Type]],IPConfig[Device],IPConfig[Start])+Shelly[[#This Row],[No]]-1</f>
        <v>192.168.10.33</v>
      </c>
      <c r="F30" s="1" t="str" cm="1">
        <f t="array" ref="F30">_xlfn.LET(
   _xlpm.group, Shelly[[#This Row],[Code]],
   _xlpm.matches, _xlfn._xlws.FILTER(LightSpec[S1], LEFT(LightSpec[From], LEN(_xlpm.group)) = _xlpm.group),
   IFERROR(
     INDEX(_xlpm.matches, MATCH(TRUE, _xlpm.matches&lt;&gt;"", 0)),
     ""
   )
)</f>
        <v/>
      </c>
      <c r="G30" s="1" t="str" cm="1">
        <f t="array" ref="G30">_xlfn.LET(
   _xlpm.group, Shelly[[#This Row],[Code]],
   _xlpm.matches, _xlfn._xlws.FILTER(LightSpec[S2], LEFT(LightSpec[From], LEN(_xlpm.group)) = _xlpm.group),
   IFERROR(
     INDEX(_xlpm.matches, MATCH(TRUE, _xlpm.matches&lt;&gt;"", 0)),
     ""
   )
)</f>
        <v/>
      </c>
      <c r="H30" s="1" t="str" cm="1">
        <f t="array" ref="H30">_xlfn.LET(
   _xlpm.group, Shelly[[#This Row],[Code]],
   _xlpm.matches, _xlfn._xlws.FILTER(LightSpec[S3], LEFT(LightSpec[From], LEN(_xlpm.group)) = _xlpm.group),
   IFERROR(
     INDEX(_xlpm.matches, MATCH(TRUE, _xlpm.matches&lt;&gt;"", 0)),
     ""
   )
)</f>
        <v/>
      </c>
      <c r="I30" s="1" t="str" cm="1">
        <f t="array" ref="I30">_xlfn.LET(
   _xlpm.group, Shelly[[#This Row],[Code]],
   _xlpm.matches, _xlfn._xlws.FILTER(LightSpec[S4], LEFT(LightSpec[From], LEN(_xlpm.group)) = _xlpm.group),
   IFERROR(
     INDEX(_xlpm.matches, MATCH(TRUE, _xlpm.matches&lt;&gt;"", 0)),
     ""
   )
)</f>
        <v/>
      </c>
      <c r="J30" s="1" t="str" cm="1">
        <f t="array" ref="J30">_xlfn.XLOOKUP(_xlfn.XLOOKUP(Shelly[[#This Row],[Code]]&amp; Shelly[[#Headers],[O1]], LightSpec[From],LightSpec[Room], "No room"), Rooms[Code],Rooms[Room], "Empty") &amp; _xlfn.XLOOKUP(Shelly[[#This Row],[Code]]&amp; Shelly[[#Headers],[O1]], LightSpec[From], " (" &amp;LightSpec[DiagNo] &amp; ")", "")</f>
        <v>Ensuite 2 (C2)</v>
      </c>
      <c r="K30" s="1" t="str" cm="1">
        <f t="array" ref="K30">_xlfn.XLOOKUP(_xlfn.XLOOKUP(Shelly[[#This Row],[Code]]&amp; Shelly[[#Headers],[O2]], LightSpec[From],LightSpec[Room], "No room"), Rooms[Code],Rooms[Room], "Empty") &amp; _xlfn.XLOOKUP(Shelly[[#This Row],[Code]]&amp; Shelly[[#Headers],[O2]], LightSpec[From], " (" &amp;LightSpec[DiagNo] &amp; ")", "")</f>
        <v>Ensuite 2 (C3)</v>
      </c>
      <c r="L30" s="1" t="str" cm="1">
        <f t="array" ref="L30">IF(LEFT(Shelly[[#This Row],[Code]])="D", "NA", _xlfn.XLOOKUP(_xlfn.XLOOKUP(Shelly[[#This Row],[Code]]&amp; Shelly[[#Headers],[O3]], LightSpec[From],LightSpec[Room], "No room"), Rooms[Code],Rooms[Room], "Empty") &amp; _xlfn.XLOOKUP(Shelly[[#This Row],[Code]]&amp; Shelly[[#Headers],[O3]], LightSpec[From]," (" &amp; LightSpec[DiagNo] &amp; ")", ""))</f>
        <v>NA</v>
      </c>
      <c r="M30" s="1" t="str" cm="1">
        <f t="array" ref="M30">IF(LEFT(Shelly[[#This Row],[Code]])="D", "NA", _xlfn.XLOOKUP(_xlfn.XLOOKUP(Shelly[[#This Row],[Code]]&amp; Shelly[[#Headers],[O4]], LightSpec[From],LightSpec[Room], "No room"), Rooms[Code],Rooms[Room], "Empty") &amp; _xlfn.XLOOKUP(Shelly[[#This Row],[Code]]&amp; Shelly[[#Headers],[O4]], LightSpec[From]," (" &amp; LightSpec[DiagNo] &amp; ")", ""))</f>
        <v>NA</v>
      </c>
    </row>
    <row r="31" spans="1:13" x14ac:dyDescent="0.25">
      <c r="A31" s="1" t="s">
        <v>476</v>
      </c>
      <c r="B31" s="1" t="str">
        <f>_xlfn.XLOOKUP(MID(Shelly[[#This Row],[Code]],1,1), Device[Code],Device[Device])</f>
        <v>Shelly Pro Dimmer D2PM</v>
      </c>
      <c r="C31" s="1" t="str">
        <f>MID(Shelly[[#This Row],[Code]],2,3)</f>
        <v>24</v>
      </c>
      <c r="D31" s="1" t="s">
        <v>628</v>
      </c>
      <c r="E31" s="1" t="str">
        <f>subnetStart&amp;_xlfn.XLOOKUP(Shelly[[#This Row],[Type]],IPConfig[Device],IPConfig[Start])+Shelly[[#This Row],[No]]-1</f>
        <v>192.168.10.34</v>
      </c>
      <c r="F31" s="1" t="str" cm="1">
        <f t="array" ref="F31">_xlfn.LET(
   _xlpm.group, Shelly[[#This Row],[Code]],
   _xlpm.matches, _xlfn._xlws.FILTER(LightSpec[S1], LEFT(LightSpec[From], LEN(_xlpm.group)) = _xlpm.group),
   IFERROR(
     INDEX(_xlpm.matches, MATCH(TRUE, _xlpm.matches&lt;&gt;"", 0)),
     ""
   )
)</f>
        <v/>
      </c>
      <c r="G31" s="1" t="str" cm="1">
        <f t="array" ref="G31">_xlfn.LET(
   _xlpm.group, Shelly[[#This Row],[Code]],
   _xlpm.matches, _xlfn._xlws.FILTER(LightSpec[S2], LEFT(LightSpec[From], LEN(_xlpm.group)) = _xlpm.group),
   IFERROR(
     INDEX(_xlpm.matches, MATCH(TRUE, _xlpm.matches&lt;&gt;"", 0)),
     ""
   )
)</f>
        <v/>
      </c>
      <c r="H31" s="1" t="str" cm="1">
        <f t="array" ref="H31">_xlfn.LET(
   _xlpm.group, Shelly[[#This Row],[Code]],
   _xlpm.matches, _xlfn._xlws.FILTER(LightSpec[S3], LEFT(LightSpec[From], LEN(_xlpm.group)) = _xlpm.group),
   IFERROR(
     INDEX(_xlpm.matches, MATCH(TRUE, _xlpm.matches&lt;&gt;"", 0)),
     ""
   )
)</f>
        <v/>
      </c>
      <c r="I31" s="1" t="str" cm="1">
        <f t="array" ref="I31">_xlfn.LET(
   _xlpm.group, Shelly[[#This Row],[Code]],
   _xlpm.matches, _xlfn._xlws.FILTER(LightSpec[S4], LEFT(LightSpec[From], LEN(_xlpm.group)) = _xlpm.group),
   IFERROR(
     INDEX(_xlpm.matches, MATCH(TRUE, _xlpm.matches&lt;&gt;"", 0)),
     ""
   )
)</f>
        <v/>
      </c>
      <c r="J31" s="1" t="str" cm="1">
        <f t="array" ref="J31">_xlfn.XLOOKUP(_xlfn.XLOOKUP(Shelly[[#This Row],[Code]]&amp; Shelly[[#Headers],[O1]], LightSpec[From],LightSpec[Room], "No room"), Rooms[Code],Rooms[Room], "Empty") &amp; _xlfn.XLOOKUP(Shelly[[#This Row],[Code]]&amp; Shelly[[#Headers],[O1]], LightSpec[From], " (" &amp;LightSpec[DiagNo] &amp; ")", "")</f>
        <v>Ensuite 2 (C4)</v>
      </c>
      <c r="K31" s="1" t="str" cm="1">
        <f t="array" ref="K31">_xlfn.XLOOKUP(_xlfn.XLOOKUP(Shelly[[#This Row],[Code]]&amp; Shelly[[#Headers],[O2]], LightSpec[From],LightSpec[Room], "No room"), Rooms[Code],Rooms[Room], "Empty") &amp; _xlfn.XLOOKUP(Shelly[[#This Row],[Code]]&amp; Shelly[[#Headers],[O2]], LightSpec[From], " (" &amp;LightSpec[DiagNo] &amp; ")", "")</f>
        <v>Bed 3 (C1)</v>
      </c>
      <c r="L31" s="1" t="str" cm="1">
        <f t="array" ref="L31">IF(LEFT(Shelly[[#This Row],[Code]])="D", "NA", _xlfn.XLOOKUP(_xlfn.XLOOKUP(Shelly[[#This Row],[Code]]&amp; Shelly[[#Headers],[O3]], LightSpec[From],LightSpec[Room], "No room"), Rooms[Code],Rooms[Room], "Empty") &amp; _xlfn.XLOOKUP(Shelly[[#This Row],[Code]]&amp; Shelly[[#Headers],[O3]], LightSpec[From]," (" &amp; LightSpec[DiagNo] &amp; ")", ""))</f>
        <v>NA</v>
      </c>
      <c r="M31" s="1" t="str" cm="1">
        <f t="array" ref="M31">IF(LEFT(Shelly[[#This Row],[Code]])="D", "NA", _xlfn.XLOOKUP(_xlfn.XLOOKUP(Shelly[[#This Row],[Code]]&amp; Shelly[[#Headers],[O4]], LightSpec[From],LightSpec[Room], "No room"), Rooms[Code],Rooms[Room], "Empty") &amp; _xlfn.XLOOKUP(Shelly[[#This Row],[Code]]&amp; Shelly[[#Headers],[O4]], LightSpec[From]," (" &amp; LightSpec[DiagNo] &amp; ")", ""))</f>
        <v>NA</v>
      </c>
    </row>
    <row r="32" spans="1:13" x14ac:dyDescent="0.25">
      <c r="A32" s="1" t="s">
        <v>477</v>
      </c>
      <c r="B32" s="1" t="str">
        <f>_xlfn.XLOOKUP(MID(Shelly[[#This Row],[Code]],1,1), Device[Code],Device[Device])</f>
        <v>Shelly Pro Dimmer D2PM</v>
      </c>
      <c r="C32" s="1" t="str">
        <f>MID(Shelly[[#This Row],[Code]],2,3)</f>
        <v>25</v>
      </c>
      <c r="D32" s="1" t="s">
        <v>629</v>
      </c>
      <c r="E32" s="1" t="str">
        <f>subnetStart&amp;_xlfn.XLOOKUP(Shelly[[#This Row],[Type]],IPConfig[Device],IPConfig[Start])+Shelly[[#This Row],[No]]-1</f>
        <v>192.168.10.35</v>
      </c>
      <c r="F32" s="1" t="str" cm="1">
        <f t="array" ref="F32">_xlfn.LET(
   _xlpm.group, Shelly[[#This Row],[Code]],
   _xlpm.matches, _xlfn._xlws.FILTER(LightSpec[S1], LEFT(LightSpec[From], LEN(_xlpm.group)) = _xlpm.group),
   IFERROR(
     INDEX(_xlpm.matches, MATCH(TRUE, _xlpm.matches&lt;&gt;"", 0)),
     ""
   )
)</f>
        <v>Bed 3 (Switch S1)</v>
      </c>
      <c r="G32" s="1" t="str" cm="1">
        <f t="array" ref="G32">_xlfn.LET(
   _xlpm.group, Shelly[[#This Row],[Code]],
   _xlpm.matches, _xlfn._xlws.FILTER(LightSpec[S2], LEFT(LightSpec[From], LEN(_xlpm.group)) = _xlpm.group),
   IFERROR(
     INDEX(_xlpm.matches, MATCH(TRUE, _xlpm.matches&lt;&gt;"", 0)),
     ""
   )
)</f>
        <v>Bed 3 (Switch S1)</v>
      </c>
      <c r="H32" s="1" t="str" cm="1">
        <f t="array" ref="H32">_xlfn.LET(
   _xlpm.group, Shelly[[#This Row],[Code]],
   _xlpm.matches, _xlfn._xlws.FILTER(LightSpec[S3], LEFT(LightSpec[From], LEN(_xlpm.group)) = _xlpm.group),
   IFERROR(
     INDEX(_xlpm.matches, MATCH(TRUE, _xlpm.matches&lt;&gt;"", 0)),
     ""
   )
)</f>
        <v>Bed 3 (Switch S1)</v>
      </c>
      <c r="I32" s="1" t="str" cm="1">
        <f t="array" ref="I32">_xlfn.LET(
   _xlpm.group, Shelly[[#This Row],[Code]],
   _xlpm.matches, _xlfn._xlws.FILTER(LightSpec[S4], LEFT(LightSpec[From], LEN(_xlpm.group)) = _xlpm.group),
   IFERROR(
     INDEX(_xlpm.matches, MATCH(TRUE, _xlpm.matches&lt;&gt;"", 0)),
     ""
   )
)</f>
        <v>Bed 3 (Switch S1)</v>
      </c>
      <c r="J32" s="1" t="str" cm="1">
        <f t="array" ref="J32">_xlfn.XLOOKUP(_xlfn.XLOOKUP(Shelly[[#This Row],[Code]]&amp; Shelly[[#Headers],[O1]], LightSpec[From],LightSpec[Room], "No room"), Rooms[Code],Rooms[Room], "Empty") &amp; _xlfn.XLOOKUP(Shelly[[#This Row],[Code]]&amp; Shelly[[#Headers],[O1]], LightSpec[From], " (" &amp;LightSpec[DiagNo] &amp; ")", "")</f>
        <v>Bed 3 (C3)</v>
      </c>
      <c r="K32" s="1" t="str" cm="1">
        <f t="array" ref="K32">_xlfn.XLOOKUP(_xlfn.XLOOKUP(Shelly[[#This Row],[Code]]&amp; Shelly[[#Headers],[O2]], LightSpec[From],LightSpec[Room], "No room"), Rooms[Code],Rooms[Room], "Empty") &amp; _xlfn.XLOOKUP(Shelly[[#This Row],[Code]]&amp; Shelly[[#Headers],[O2]], LightSpec[From], " (" &amp;LightSpec[DiagNo] &amp; ")", "")</f>
        <v>Bed 3 (C4)</v>
      </c>
      <c r="L32" s="1" t="str" cm="1">
        <f t="array" ref="L32">IF(LEFT(Shelly[[#This Row],[Code]])="D", "NA", _xlfn.XLOOKUP(_xlfn.XLOOKUP(Shelly[[#This Row],[Code]]&amp; Shelly[[#Headers],[O3]], LightSpec[From],LightSpec[Room], "No room"), Rooms[Code],Rooms[Room], "Empty") &amp; _xlfn.XLOOKUP(Shelly[[#This Row],[Code]]&amp; Shelly[[#Headers],[O3]], LightSpec[From]," (" &amp; LightSpec[DiagNo] &amp; ")", ""))</f>
        <v>NA</v>
      </c>
      <c r="M32" s="1" t="str" cm="1">
        <f t="array" ref="M32">IF(LEFT(Shelly[[#This Row],[Code]])="D", "NA", _xlfn.XLOOKUP(_xlfn.XLOOKUP(Shelly[[#This Row],[Code]]&amp; Shelly[[#Headers],[O4]], LightSpec[From],LightSpec[Room], "No room"), Rooms[Code],Rooms[Room], "Empty") &amp; _xlfn.XLOOKUP(Shelly[[#This Row],[Code]]&amp; Shelly[[#Headers],[O4]], LightSpec[From]," (" &amp; LightSpec[DiagNo] &amp; ")", ""))</f>
        <v>NA</v>
      </c>
    </row>
    <row r="33" spans="1:14" x14ac:dyDescent="0.25">
      <c r="A33" s="1" t="s">
        <v>478</v>
      </c>
      <c r="B33" s="1" t="str">
        <f>_xlfn.XLOOKUP(MID(Shelly[[#This Row],[Code]],1,1), Device[Code],Device[Device])</f>
        <v>Shelly Pro Dimmer D2PM</v>
      </c>
      <c r="C33" s="1" t="str">
        <f>MID(Shelly[[#This Row],[Code]],2,3)</f>
        <v>26</v>
      </c>
      <c r="D33" s="1" t="s">
        <v>630</v>
      </c>
      <c r="E33" s="1" t="str">
        <f>subnetStart&amp;_xlfn.XLOOKUP(Shelly[[#This Row],[Type]],IPConfig[Device],IPConfig[Start])+Shelly[[#This Row],[No]]-1</f>
        <v>192.168.10.36</v>
      </c>
      <c r="F33" s="1" t="str" cm="1">
        <f t="array" ref="F33">_xlfn.LET(
   _xlpm.group, Shelly[[#This Row],[Code]],
   _xlpm.matches, _xlfn._xlws.FILTER(LightSpec[S1], LEFT(LightSpec[From], LEN(_xlpm.group)) = _xlpm.group),
   IFERROR(
     INDEX(_xlpm.matches, MATCH(TRUE, _xlpm.matches&lt;&gt;"", 0)),
     ""
   )
)</f>
        <v>Bed 4 (Switch S1)</v>
      </c>
      <c r="G33" s="1" t="str" cm="1">
        <f t="array" ref="G33">_xlfn.LET(
   _xlpm.group, Shelly[[#This Row],[Code]],
   _xlpm.matches, _xlfn._xlws.FILTER(LightSpec[S2], LEFT(LightSpec[From], LEN(_xlpm.group)) = _xlpm.group),
   IFERROR(
     INDEX(_xlpm.matches, MATCH(TRUE, _xlpm.matches&lt;&gt;"", 0)),
     ""
   )
)</f>
        <v>Bed 4 (Switch S1)</v>
      </c>
      <c r="H33" s="1" t="str" cm="1">
        <f t="array" ref="H33">_xlfn.LET(
   _xlpm.group, Shelly[[#This Row],[Code]],
   _xlpm.matches, _xlfn._xlws.FILTER(LightSpec[S3], LEFT(LightSpec[From], LEN(_xlpm.group)) = _xlpm.group),
   IFERROR(
     INDEX(_xlpm.matches, MATCH(TRUE, _xlpm.matches&lt;&gt;"", 0)),
     ""
   )
)</f>
        <v/>
      </c>
      <c r="I33" s="1" t="str" cm="1">
        <f t="array" ref="I33">_xlfn.LET(
   _xlpm.group, Shelly[[#This Row],[Code]],
   _xlpm.matches, _xlfn._xlws.FILTER(LightSpec[S4], LEFT(LightSpec[From], LEN(_xlpm.group)) = _xlpm.group),
   IFERROR(
     INDEX(_xlpm.matches, MATCH(TRUE, _xlpm.matches&lt;&gt;"", 0)),
     ""
   )
)</f>
        <v/>
      </c>
      <c r="J33" s="1" t="str" cm="1">
        <f t="array" ref="J33">_xlfn.XLOOKUP(_xlfn.XLOOKUP(Shelly[[#This Row],[Code]]&amp; Shelly[[#Headers],[O1]], LightSpec[From],LightSpec[Room], "No room"), Rooms[Code],Rooms[Room], "Empty") &amp; _xlfn.XLOOKUP(Shelly[[#This Row],[Code]]&amp; Shelly[[#Headers],[O1]], LightSpec[From], " (" &amp;LightSpec[DiagNo] &amp; ")", "")</f>
        <v>Ensuite 3 (C1)</v>
      </c>
      <c r="K33" s="1" t="str" cm="1">
        <f t="array" ref="K33">_xlfn.XLOOKUP(_xlfn.XLOOKUP(Shelly[[#This Row],[Code]]&amp; Shelly[[#Headers],[O2]], LightSpec[From],LightSpec[Room], "No room"), Rooms[Code],Rooms[Room], "Empty") &amp; _xlfn.XLOOKUP(Shelly[[#This Row],[Code]]&amp; Shelly[[#Headers],[O2]], LightSpec[From], " (" &amp;LightSpec[DiagNo] &amp; ")", "")</f>
        <v>Empty</v>
      </c>
      <c r="L33" s="1" t="str" cm="1">
        <f t="array" ref="L33">IF(LEFT(Shelly[[#This Row],[Code]])="D", "NA", _xlfn.XLOOKUP(_xlfn.XLOOKUP(Shelly[[#This Row],[Code]]&amp; Shelly[[#Headers],[O3]], LightSpec[From],LightSpec[Room], "No room"), Rooms[Code],Rooms[Room], "Empty") &amp; _xlfn.XLOOKUP(Shelly[[#This Row],[Code]]&amp; Shelly[[#Headers],[O3]], LightSpec[From]," (" &amp; LightSpec[DiagNo] &amp; ")", ""))</f>
        <v>NA</v>
      </c>
      <c r="M33" s="1" t="str" cm="1">
        <f t="array" ref="M33">IF(LEFT(Shelly[[#This Row],[Code]])="D", "NA", _xlfn.XLOOKUP(_xlfn.XLOOKUP(Shelly[[#This Row],[Code]]&amp; Shelly[[#Headers],[O4]], LightSpec[From],LightSpec[Room], "No room"), Rooms[Code],Rooms[Room], "Empty") &amp; _xlfn.XLOOKUP(Shelly[[#This Row],[Code]]&amp; Shelly[[#Headers],[O4]], LightSpec[From]," (" &amp; LightSpec[DiagNo] &amp; ")", ""))</f>
        <v>NA</v>
      </c>
    </row>
    <row r="34" spans="1:14" x14ac:dyDescent="0.25">
      <c r="A34" s="1" t="s">
        <v>479</v>
      </c>
      <c r="B34" s="1" t="str">
        <f>_xlfn.XLOOKUP(MID(Shelly[[#This Row],[Code]],1,1), Device[Code],Device[Device])</f>
        <v>Shelly Pro Dimmer D2PM</v>
      </c>
      <c r="C34" s="1" t="str">
        <f>MID(Shelly[[#This Row],[Code]],2,3)</f>
        <v>27</v>
      </c>
      <c r="D34" s="1" t="s">
        <v>631</v>
      </c>
      <c r="E34" s="1" t="str">
        <f>subnetStart&amp;_xlfn.XLOOKUP(Shelly[[#This Row],[Type]],IPConfig[Device],IPConfig[Start])+Shelly[[#This Row],[No]]-1</f>
        <v>192.168.10.37</v>
      </c>
      <c r="F34" s="1" t="str" cm="1">
        <f t="array" ref="F34">_xlfn.LET(
   _xlpm.group, Shelly[[#This Row],[Code]],
   _xlpm.matches, _xlfn._xlws.FILTER(LightSpec[S1], LEFT(LightSpec[From], LEN(_xlpm.group)) = _xlpm.group),
   IFERROR(
     INDEX(_xlpm.matches, MATCH(TRUE, _xlpm.matches&lt;&gt;"", 0)),
     ""
   )
)</f>
        <v>Bed 4 (Switch S2)</v>
      </c>
      <c r="G34" s="1" t="str" cm="1">
        <f t="array" ref="G34">_xlfn.LET(
   _xlpm.group, Shelly[[#This Row],[Code]],
   _xlpm.matches, _xlfn._xlws.FILTER(LightSpec[S2], LEFT(LightSpec[From], LEN(_xlpm.group)) = _xlpm.group),
   IFERROR(
     INDEX(_xlpm.matches, MATCH(TRUE, _xlpm.matches&lt;&gt;"", 0)),
     ""
   )
)</f>
        <v>Bed 4 (Switch S2)</v>
      </c>
      <c r="H34" s="1" t="str" cm="1">
        <f t="array" ref="H34">_xlfn.LET(
   _xlpm.group, Shelly[[#This Row],[Code]],
   _xlpm.matches, _xlfn._xlws.FILTER(LightSpec[S3], LEFT(LightSpec[From], LEN(_xlpm.group)) = _xlpm.group),
   IFERROR(
     INDEX(_xlpm.matches, MATCH(TRUE, _xlpm.matches&lt;&gt;"", 0)),
     ""
   )
)</f>
        <v/>
      </c>
      <c r="I34" s="1" t="str" cm="1">
        <f t="array" ref="I34">_xlfn.LET(
   _xlpm.group, Shelly[[#This Row],[Code]],
   _xlpm.matches, _xlfn._xlws.FILTER(LightSpec[S4], LEFT(LightSpec[From], LEN(_xlpm.group)) = _xlpm.group),
   IFERROR(
     INDEX(_xlpm.matches, MATCH(TRUE, _xlpm.matches&lt;&gt;"", 0)),
     ""
   )
)</f>
        <v/>
      </c>
      <c r="J34" s="1" t="str" cm="1">
        <f t="array" ref="J34">_xlfn.XLOOKUP(_xlfn.XLOOKUP(Shelly[[#This Row],[Code]]&amp; Shelly[[#Headers],[O1]], LightSpec[From],LightSpec[Room], "No room"), Rooms[Code],Rooms[Room], "Empty") &amp; _xlfn.XLOOKUP(Shelly[[#This Row],[Code]]&amp; Shelly[[#Headers],[O1]], LightSpec[From], " (" &amp;LightSpec[DiagNo] &amp; ")", "")</f>
        <v>Bed 4 (C1)</v>
      </c>
      <c r="K34" s="1" t="str" cm="1">
        <f t="array" ref="K34">_xlfn.XLOOKUP(_xlfn.XLOOKUP(Shelly[[#This Row],[Code]]&amp; Shelly[[#Headers],[O2]], LightSpec[From],LightSpec[Room], "No room"), Rooms[Code],Rooms[Room], "Empty") &amp; _xlfn.XLOOKUP(Shelly[[#This Row],[Code]]&amp; Shelly[[#Headers],[O2]], LightSpec[From], " (" &amp;LightSpec[DiagNo] &amp; ")", "")</f>
        <v>Bed 4 (C3)</v>
      </c>
      <c r="L34" s="1" t="str" cm="1">
        <f t="array" ref="L34">IF(LEFT(Shelly[[#This Row],[Code]])="D", "NA", _xlfn.XLOOKUP(_xlfn.XLOOKUP(Shelly[[#This Row],[Code]]&amp; Shelly[[#Headers],[O3]], LightSpec[From],LightSpec[Room], "No room"), Rooms[Code],Rooms[Room], "Empty") &amp; _xlfn.XLOOKUP(Shelly[[#This Row],[Code]]&amp; Shelly[[#Headers],[O3]], LightSpec[From]," (" &amp; LightSpec[DiagNo] &amp; ")", ""))</f>
        <v>NA</v>
      </c>
      <c r="M34" s="1" t="str" cm="1">
        <f t="array" ref="M34">IF(LEFT(Shelly[[#This Row],[Code]])="D", "NA", _xlfn.XLOOKUP(_xlfn.XLOOKUP(Shelly[[#This Row],[Code]]&amp; Shelly[[#Headers],[O4]], LightSpec[From],LightSpec[Room], "No room"), Rooms[Code],Rooms[Room], "Empty") &amp; _xlfn.XLOOKUP(Shelly[[#This Row],[Code]]&amp; Shelly[[#Headers],[O4]], LightSpec[From]," (" &amp; LightSpec[DiagNo] &amp; ")", ""))</f>
        <v>NA</v>
      </c>
    </row>
    <row r="35" spans="1:14" x14ac:dyDescent="0.25">
      <c r="A35" s="1" t="s">
        <v>480</v>
      </c>
      <c r="B35" s="1" t="str">
        <f>_xlfn.XLOOKUP(MID(Shelly[[#This Row],[Code]],1,1), Device[Code],Device[Device])</f>
        <v>Shelly Pro Dimmer D2PM</v>
      </c>
      <c r="C35" s="1" t="str">
        <f>MID(Shelly[[#This Row],[Code]],2,3)</f>
        <v>28</v>
      </c>
      <c r="D35" s="1" t="s">
        <v>632</v>
      </c>
      <c r="E35" s="1" t="str">
        <f>subnetStart&amp;_xlfn.XLOOKUP(Shelly[[#This Row],[Type]],IPConfig[Device],IPConfig[Start])+Shelly[[#This Row],[No]]-1</f>
        <v>192.168.10.38</v>
      </c>
      <c r="F35" s="1" t="str" cm="1">
        <f t="array" ref="F35">_xlfn.LET(
   _xlpm.group, Shelly[[#This Row],[Code]],
   _xlpm.matches, _xlfn._xlws.FILTER(LightSpec[S1], LEFT(LightSpec[From], LEN(_xlpm.group)) = _xlpm.group),
   IFERROR(
     INDEX(_xlpm.matches, MATCH(TRUE, _xlpm.matches&lt;&gt;"", 0)),
     ""
   )
)</f>
        <v/>
      </c>
      <c r="G35" s="1" t="str" cm="1">
        <f t="array" ref="G35">_xlfn.LET(
   _xlpm.group, Shelly[[#This Row],[Code]],
   _xlpm.matches, _xlfn._xlws.FILTER(LightSpec[S2], LEFT(LightSpec[From], LEN(_xlpm.group)) = _xlpm.group),
   IFERROR(
     INDEX(_xlpm.matches, MATCH(TRUE, _xlpm.matches&lt;&gt;"", 0)),
     ""
   )
)</f>
        <v/>
      </c>
      <c r="H35" s="1" t="str" cm="1">
        <f t="array" ref="H35">_xlfn.LET(
   _xlpm.group, Shelly[[#This Row],[Code]],
   _xlpm.matches, _xlfn._xlws.FILTER(LightSpec[S3], LEFT(LightSpec[From], LEN(_xlpm.group)) = _xlpm.group),
   IFERROR(
     INDEX(_xlpm.matches, MATCH(TRUE, _xlpm.matches&lt;&gt;"", 0)),
     ""
   )
)</f>
        <v/>
      </c>
      <c r="I35" s="1" t="str" cm="1">
        <f t="array" ref="I35">_xlfn.LET(
   _xlpm.group, Shelly[[#This Row],[Code]],
   _xlpm.matches, _xlfn._xlws.FILTER(LightSpec[S4], LEFT(LightSpec[From], LEN(_xlpm.group)) = _xlpm.group),
   IFERROR(
     INDEX(_xlpm.matches, MATCH(TRUE, _xlpm.matches&lt;&gt;"", 0)),
     ""
   )
)</f>
        <v/>
      </c>
      <c r="J35" s="1" t="str" cm="1">
        <f t="array" ref="J35">_xlfn.XLOOKUP(_xlfn.XLOOKUP(Shelly[[#This Row],[Code]]&amp; Shelly[[#Headers],[O1]], LightSpec[From],LightSpec[Room], "No room"), Rooms[Code],Rooms[Room], "Empty") &amp; _xlfn.XLOOKUP(Shelly[[#This Row],[Code]]&amp; Shelly[[#Headers],[O1]], LightSpec[From], " (" &amp;LightSpec[DiagNo] &amp; ")", "")</f>
        <v>Ensuite 4 (C1)</v>
      </c>
      <c r="K35" s="1" t="str" cm="1">
        <f t="array" ref="K35">_xlfn.XLOOKUP(_xlfn.XLOOKUP(Shelly[[#This Row],[Code]]&amp; Shelly[[#Headers],[O2]], LightSpec[From],LightSpec[Room], "No room"), Rooms[Code],Rooms[Room], "Empty") &amp; _xlfn.XLOOKUP(Shelly[[#This Row],[Code]]&amp; Shelly[[#Headers],[O2]], LightSpec[From], " (" &amp;LightSpec[DiagNo] &amp; ")", "")</f>
        <v>Empty</v>
      </c>
      <c r="L35" s="1" t="str" cm="1">
        <f t="array" ref="L35">IF(LEFT(Shelly[[#This Row],[Code]])="D", "NA", _xlfn.XLOOKUP(_xlfn.XLOOKUP(Shelly[[#This Row],[Code]]&amp; Shelly[[#Headers],[O3]], LightSpec[From],LightSpec[Room], "No room"), Rooms[Code],Rooms[Room], "Empty") &amp; _xlfn.XLOOKUP(Shelly[[#This Row],[Code]]&amp; Shelly[[#Headers],[O3]], LightSpec[From]," (" &amp; LightSpec[DiagNo] &amp; ")", ""))</f>
        <v>NA</v>
      </c>
      <c r="M35" s="1" t="str" cm="1">
        <f t="array" ref="M35">IF(LEFT(Shelly[[#This Row],[Code]])="D", "NA", _xlfn.XLOOKUP(_xlfn.XLOOKUP(Shelly[[#This Row],[Code]]&amp; Shelly[[#Headers],[O4]], LightSpec[From],LightSpec[Room], "No room"), Rooms[Code],Rooms[Room], "Empty") &amp; _xlfn.XLOOKUP(Shelly[[#This Row],[Code]]&amp; Shelly[[#Headers],[O4]], LightSpec[From]," (" &amp; LightSpec[DiagNo] &amp; ")", ""))</f>
        <v>NA</v>
      </c>
    </row>
    <row r="36" spans="1:14" x14ac:dyDescent="0.25">
      <c r="A36" s="1" t="s">
        <v>481</v>
      </c>
      <c r="B36" s="1" t="str">
        <f>_xlfn.XLOOKUP(MID(Shelly[[#This Row],[Code]],1,1), Device[Code],Device[Device])</f>
        <v>Shelly Pro Dimmer D2PM</v>
      </c>
      <c r="C36" s="1" t="str">
        <f>MID(Shelly[[#This Row],[Code]],2,3)</f>
        <v>29</v>
      </c>
      <c r="D36" s="1" t="s">
        <v>633</v>
      </c>
      <c r="E36" s="1" t="str">
        <f>subnetStart&amp;_xlfn.XLOOKUP(Shelly[[#This Row],[Type]],IPConfig[Device],IPConfig[Start])+Shelly[[#This Row],[No]]-1</f>
        <v>192.168.10.39</v>
      </c>
      <c r="F36" s="1" t="str" cm="1">
        <f t="array" ref="F36">_xlfn.LET(
   _xlpm.group, Shelly[[#This Row],[Code]],
   _xlpm.matches, _xlfn._xlws.FILTER(LightSpec[S1], LEFT(LightSpec[From], LEN(_xlpm.group)) = _xlpm.group),
   IFERROR(
     INDEX(_xlpm.matches, MATCH(TRUE, _xlpm.matches&lt;&gt;"", 0)),
     ""
   )
)</f>
        <v/>
      </c>
      <c r="G36" s="1" t="str" cm="1">
        <f t="array" ref="G36">_xlfn.LET(
   _xlpm.group, Shelly[[#This Row],[Code]],
   _xlpm.matches, _xlfn._xlws.FILTER(LightSpec[S2], LEFT(LightSpec[From], LEN(_xlpm.group)) = _xlpm.group),
   IFERROR(
     INDEX(_xlpm.matches, MATCH(TRUE, _xlpm.matches&lt;&gt;"", 0)),
     ""
   )
)</f>
        <v/>
      </c>
      <c r="H36" s="1" t="str" cm="1">
        <f t="array" ref="H36">_xlfn.LET(
   _xlpm.group, Shelly[[#This Row],[Code]],
   _xlpm.matches, _xlfn._xlws.FILTER(LightSpec[S3], LEFT(LightSpec[From], LEN(_xlpm.group)) = _xlpm.group),
   IFERROR(
     INDEX(_xlpm.matches, MATCH(TRUE, _xlpm.matches&lt;&gt;"", 0)),
     ""
   )
)</f>
        <v/>
      </c>
      <c r="I36" s="1" t="str" cm="1">
        <f t="array" ref="I36">_xlfn.LET(
   _xlpm.group, Shelly[[#This Row],[Code]],
   _xlpm.matches, _xlfn._xlws.FILTER(LightSpec[S4], LEFT(LightSpec[From], LEN(_xlpm.group)) = _xlpm.group),
   IFERROR(
     INDEX(_xlpm.matches, MATCH(TRUE, _xlpm.matches&lt;&gt;"", 0)),
     ""
   )
)</f>
        <v/>
      </c>
      <c r="J36" s="1" t="str" cm="1">
        <f t="array" ref="J36">_xlfn.XLOOKUP(_xlfn.XLOOKUP(Shelly[[#This Row],[Code]]&amp; Shelly[[#Headers],[O1]], LightSpec[From],LightSpec[Room], "No room"), Rooms[Code],Rooms[Room], "Empty") &amp; _xlfn.XLOOKUP(Shelly[[#This Row],[Code]]&amp; Shelly[[#Headers],[O1]], LightSpec[From], " (" &amp;LightSpec[DiagNo] &amp; ")", "")</f>
        <v>Bed 4 (C2)</v>
      </c>
      <c r="K36" s="1" t="str" cm="1">
        <f t="array" ref="K36">_xlfn.XLOOKUP(_xlfn.XLOOKUP(Shelly[[#This Row],[Code]]&amp; Shelly[[#Headers],[O2]], LightSpec[From],LightSpec[Room], "No room"), Rooms[Code],Rooms[Room], "Empty") &amp; _xlfn.XLOOKUP(Shelly[[#This Row],[Code]]&amp; Shelly[[#Headers],[O2]], LightSpec[From], " (" &amp;LightSpec[DiagNo] &amp; ")", "")</f>
        <v>Empty</v>
      </c>
      <c r="L36" s="1" t="str" cm="1">
        <f t="array" ref="L36">IF(LEFT(Shelly[[#This Row],[Code]])="D", "NA", _xlfn.XLOOKUP(_xlfn.XLOOKUP(Shelly[[#This Row],[Code]]&amp; Shelly[[#Headers],[O3]], LightSpec[From],LightSpec[Room], "No room"), Rooms[Code],Rooms[Room], "Empty") &amp; _xlfn.XLOOKUP(Shelly[[#This Row],[Code]]&amp; Shelly[[#Headers],[O3]], LightSpec[From]," (" &amp; LightSpec[DiagNo] &amp; ")", ""))</f>
        <v>NA</v>
      </c>
      <c r="M36" s="1" t="str" cm="1">
        <f t="array" ref="M36">IF(LEFT(Shelly[[#This Row],[Code]])="D", "NA", _xlfn.XLOOKUP(_xlfn.XLOOKUP(Shelly[[#This Row],[Code]]&amp; Shelly[[#Headers],[O4]], LightSpec[From],LightSpec[Room], "No room"), Rooms[Code],Rooms[Room], "Empty") &amp; _xlfn.XLOOKUP(Shelly[[#This Row],[Code]]&amp; Shelly[[#Headers],[O4]], LightSpec[From]," (" &amp; LightSpec[DiagNo] &amp; ")", ""))</f>
        <v>NA</v>
      </c>
    </row>
    <row r="37" spans="1:14" x14ac:dyDescent="0.25">
      <c r="A37" s="1" t="s">
        <v>482</v>
      </c>
      <c r="B37" s="1" t="str">
        <f>_xlfn.XLOOKUP(MID(Shelly[[#This Row],[Code]],1,1), Device[Code],Device[Device])</f>
        <v>Shelly Pro Dimmer D2PM</v>
      </c>
      <c r="C37" s="1" t="str">
        <f>MID(Shelly[[#This Row],[Code]],2,3)</f>
        <v>30</v>
      </c>
      <c r="D37" s="1" t="s">
        <v>623</v>
      </c>
      <c r="E37" s="1" t="str">
        <f>subnetStart&amp;_xlfn.XLOOKUP(Shelly[[#This Row],[Type]],IPConfig[Device],IPConfig[Start])+Shelly[[#This Row],[No]]-1</f>
        <v>192.168.10.40</v>
      </c>
      <c r="F37" s="1" t="str" cm="1">
        <f t="array" ref="F37">_xlfn.LET(
   _xlpm.group, Shelly[[#This Row],[Code]],
   _xlpm.matches, _xlfn._xlws.FILTER(LightSpec[S1], LEFT(LightSpec[From], LEN(_xlpm.group)) = _xlpm.group),
   IFERROR(
     INDEX(_xlpm.matches, MATCH(TRUE, _xlpm.matches&lt;&gt;"", 0)),
     ""
   )
)</f>
        <v/>
      </c>
      <c r="G37" s="1" t="str" cm="1">
        <f t="array" ref="G37">_xlfn.LET(
   _xlpm.group, Shelly[[#This Row],[Code]],
   _xlpm.matches, _xlfn._xlws.FILTER(LightSpec[S2], LEFT(LightSpec[From], LEN(_xlpm.group)) = _xlpm.group),
   IFERROR(
     INDEX(_xlpm.matches, MATCH(TRUE, _xlpm.matches&lt;&gt;"", 0)),
     ""
   )
)</f>
        <v/>
      </c>
      <c r="H37" s="1" t="str" cm="1">
        <f t="array" ref="H37">_xlfn.LET(
   _xlpm.group, Shelly[[#This Row],[Code]],
   _xlpm.matches, _xlfn._xlws.FILTER(LightSpec[S3], LEFT(LightSpec[From], LEN(_xlpm.group)) = _xlpm.group),
   IFERROR(
     INDEX(_xlpm.matches, MATCH(TRUE, _xlpm.matches&lt;&gt;"", 0)),
     ""
   )
)</f>
        <v/>
      </c>
      <c r="I37" s="1" t="str" cm="1">
        <f t="array" ref="I37">_xlfn.LET(
   _xlpm.group, Shelly[[#This Row],[Code]],
   _xlpm.matches, _xlfn._xlws.FILTER(LightSpec[S4], LEFT(LightSpec[From], LEN(_xlpm.group)) = _xlpm.group),
   IFERROR(
     INDEX(_xlpm.matches, MATCH(TRUE, _xlpm.matches&lt;&gt;"", 0)),
     ""
   )
)</f>
        <v/>
      </c>
      <c r="J37" s="1" t="str" cm="1">
        <f t="array" ref="J37">_xlfn.XLOOKUP(_xlfn.XLOOKUP(Shelly[[#This Row],[Code]]&amp; Shelly[[#Headers],[O1]], LightSpec[From],LightSpec[Room], "No room"), Rooms[Code],Rooms[Room], "Empty") &amp; _xlfn.XLOOKUP(Shelly[[#This Row],[Code]]&amp; Shelly[[#Headers],[O1]], LightSpec[From], " (" &amp;LightSpec[DiagNo] &amp; ")", "")</f>
        <v>Empty</v>
      </c>
      <c r="K37" s="1" t="str" cm="1">
        <f t="array" ref="K37">_xlfn.XLOOKUP(_xlfn.XLOOKUP(Shelly[[#This Row],[Code]]&amp; Shelly[[#Headers],[O2]], LightSpec[From],LightSpec[Room], "No room"), Rooms[Code],Rooms[Room], "Empty") &amp; _xlfn.XLOOKUP(Shelly[[#This Row],[Code]]&amp; Shelly[[#Headers],[O2]], LightSpec[From], " (" &amp;LightSpec[DiagNo] &amp; ")", "")</f>
        <v>Empty</v>
      </c>
      <c r="L37" s="1" t="str" cm="1">
        <f t="array" ref="L37">IF(LEFT(Shelly[[#This Row],[Code]])="D", "NA", _xlfn.XLOOKUP(_xlfn.XLOOKUP(Shelly[[#This Row],[Code]]&amp; Shelly[[#Headers],[O3]], LightSpec[From],LightSpec[Room], "No room"), Rooms[Code],Rooms[Room], "Empty") &amp; _xlfn.XLOOKUP(Shelly[[#This Row],[Code]]&amp; Shelly[[#Headers],[O3]], LightSpec[From]," (" &amp; LightSpec[DiagNo] &amp; ")", ""))</f>
        <v>NA</v>
      </c>
      <c r="M37" s="1" t="str" cm="1">
        <f t="array" ref="M37">IF(LEFT(Shelly[[#This Row],[Code]])="D", "NA", _xlfn.XLOOKUP(_xlfn.XLOOKUP(Shelly[[#This Row],[Code]]&amp; Shelly[[#Headers],[O4]], LightSpec[From],LightSpec[Room], "No room"), Rooms[Code],Rooms[Room], "Empty") &amp; _xlfn.XLOOKUP(Shelly[[#This Row],[Code]]&amp; Shelly[[#Headers],[O4]], LightSpec[From]," (" &amp; LightSpec[DiagNo] &amp; ")", ""))</f>
        <v>NA</v>
      </c>
    </row>
    <row r="38" spans="1:14" x14ac:dyDescent="0.25">
      <c r="A38" t="s">
        <v>669</v>
      </c>
      <c r="B38" t="str">
        <f>_xlfn.XLOOKUP(MID(Shelly[[#This Row],[Code]],1,1), Device[Code],Device[Device])</f>
        <v>Shelly Retro</v>
      </c>
      <c r="C38" t="str">
        <f>MID(Shelly[[#This Row],[Code]],2,3)</f>
        <v>01</v>
      </c>
      <c r="D38" t="s">
        <v>671</v>
      </c>
      <c r="E38" t="str">
        <f>subnetStart&amp;_xlfn.XLOOKUP(Shelly[[#This Row],[Type]],IPConfig[Device],IPConfig[Start])+Shelly[[#This Row],[No]]-1</f>
        <v>192.168.10.70</v>
      </c>
      <c r="F38" t="str" cm="1">
        <f t="array" ref="F38">_xlfn.LET(
   _xlpm.group, Shelly[[#This Row],[Code]],
   _xlpm.matches, _xlfn._xlws.FILTER(LightSpec[S1], LEFT(LightSpec[From], LEN(_xlpm.group)) = _xlpm.group),
   IFERROR(
     INDEX(_xlpm.matches, MATCH(TRUE, _xlpm.matches&lt;&gt;"", 0)),
     ""
   )
)</f>
        <v/>
      </c>
      <c r="G38" t="str" cm="1">
        <f t="array" ref="G38">_xlfn.LET(
   _xlpm.group, Shelly[[#This Row],[Code]],
   _xlpm.matches, _xlfn._xlws.FILTER(LightSpec[S2], LEFT(LightSpec[From], LEN(_xlpm.group)) = _xlpm.group),
   IFERROR(
     INDEX(_xlpm.matches, MATCH(TRUE, _xlpm.matches&lt;&gt;"", 0)),
     ""
   )
)</f>
        <v/>
      </c>
      <c r="H38" t="str" cm="1">
        <f t="array" ref="H38">_xlfn.LET(
   _xlpm.group, Shelly[[#This Row],[Code]],
   _xlpm.matches, _xlfn._xlws.FILTER(LightSpec[S3], LEFT(LightSpec[From], LEN(_xlpm.group)) = _xlpm.group),
   IFERROR(
     INDEX(_xlpm.matches, MATCH(TRUE, _xlpm.matches&lt;&gt;"", 0)),
     ""
   )
)</f>
        <v/>
      </c>
      <c r="I38" t="str" cm="1">
        <f t="array" ref="I38">_xlfn.LET(
   _xlpm.group, Shelly[[#This Row],[Code]],
   _xlpm.matches, _xlfn._xlws.FILTER(LightSpec[S4], LEFT(LightSpec[From], LEN(_xlpm.group)) = _xlpm.group),
   IFERROR(
     INDEX(_xlpm.matches, MATCH(TRUE, _xlpm.matches&lt;&gt;"", 0)),
     ""
   )
)</f>
        <v/>
      </c>
      <c r="J38" t="str" cm="1">
        <f t="array" ref="J38">_xlfn.XLOOKUP(_xlfn.XLOOKUP(Shelly[[#This Row],[Code]]&amp; Shelly[[#Headers],[O1]], LightSpec[From],LightSpec[Room], "No room"), Rooms[Code],Rooms[Room], "Empty") &amp; _xlfn.XLOOKUP(Shelly[[#This Row],[Code]]&amp; Shelly[[#Headers],[O1]], LightSpec[From], " (" &amp;LightSpec[DiagNo] &amp; ")", "")</f>
        <v>Empty</v>
      </c>
      <c r="K38" t="str" cm="1">
        <f t="array" ref="K38">_xlfn.XLOOKUP(_xlfn.XLOOKUP(Shelly[[#This Row],[Code]]&amp; Shelly[[#Headers],[O2]], LightSpec[From],LightSpec[Room], "No room"), Rooms[Code],Rooms[Room], "Empty") &amp; _xlfn.XLOOKUP(Shelly[[#This Row],[Code]]&amp; Shelly[[#Headers],[O2]], LightSpec[From], " (" &amp;LightSpec[DiagNo] &amp; ")", "")</f>
        <v>Empty</v>
      </c>
      <c r="L38" t="str" cm="1">
        <f t="array" ref="L38">IF(LEFT(Shelly[[#This Row],[Code]])="D", "NA", _xlfn.XLOOKUP(_xlfn.XLOOKUP(Shelly[[#This Row],[Code]]&amp; Shelly[[#Headers],[O3]], LightSpec[From],LightSpec[Room], "No room"), Rooms[Code],Rooms[Room], "Empty") &amp; _xlfn.XLOOKUP(Shelly[[#This Row],[Code]]&amp; Shelly[[#Headers],[O3]], LightSpec[From]," (" &amp; LightSpec[DiagNo] &amp; ")", ""))</f>
        <v>Empty</v>
      </c>
      <c r="M38" t="str" cm="1">
        <f t="array" ref="M38">IF(LEFT(Shelly[[#This Row],[Code]])="D", "NA", _xlfn.XLOOKUP(_xlfn.XLOOKUP(Shelly[[#This Row],[Code]]&amp; Shelly[[#Headers],[O4]], LightSpec[From],LightSpec[Room], "No room"), Rooms[Code],Rooms[Room], "Empty") &amp; _xlfn.XLOOKUP(Shelly[[#This Row],[Code]]&amp; Shelly[[#Headers],[O4]], LightSpec[From]," (" &amp; LightSpec[DiagNo] &amp; ")", ""))</f>
        <v>Empty</v>
      </c>
      <c r="N38" t="s">
        <v>680</v>
      </c>
    </row>
    <row r="39" spans="1:14" x14ac:dyDescent="0.25">
      <c r="A39" t="s">
        <v>677</v>
      </c>
      <c r="B39" t="str">
        <f>_xlfn.XLOOKUP(MID(Shelly[[#This Row],[Code]],1,1), Device[Code],Device[Device])</f>
        <v>Shelly Retro</v>
      </c>
      <c r="C39" t="str">
        <f>MID(Shelly[[#This Row],[Code]],2,3)</f>
        <v>02</v>
      </c>
      <c r="D39" t="s">
        <v>678</v>
      </c>
      <c r="E39" t="str">
        <f>subnetStart&amp;_xlfn.XLOOKUP(Shelly[[#This Row],[Type]],IPConfig[Device],IPConfig[Start])+Shelly[[#This Row],[No]]-1</f>
        <v>192.168.10.71</v>
      </c>
      <c r="F39" t="str" cm="1">
        <f t="array" ref="F39">_xlfn.LET(
   _xlpm.group, Shelly[[#This Row],[Code]],
   _xlpm.matches, _xlfn._xlws.FILTER(LightSpec[S1], LEFT(LightSpec[From], LEN(_xlpm.group)) = _xlpm.group),
   IFERROR(
     INDEX(_xlpm.matches, MATCH(TRUE, _xlpm.matches&lt;&gt;"", 0)),
     ""
   )
)</f>
        <v/>
      </c>
      <c r="G39" t="str" cm="1">
        <f t="array" ref="G39">_xlfn.LET(
   _xlpm.group, Shelly[[#This Row],[Code]],
   _xlpm.matches, _xlfn._xlws.FILTER(LightSpec[S2], LEFT(LightSpec[From], LEN(_xlpm.group)) = _xlpm.group),
   IFERROR(
     INDEX(_xlpm.matches, MATCH(TRUE, _xlpm.matches&lt;&gt;"", 0)),
     ""
   )
)</f>
        <v/>
      </c>
      <c r="H39" t="str" cm="1">
        <f t="array" ref="H39">_xlfn.LET(
   _xlpm.group, Shelly[[#This Row],[Code]],
   _xlpm.matches, _xlfn._xlws.FILTER(LightSpec[S3], LEFT(LightSpec[From], LEN(_xlpm.group)) = _xlpm.group),
   IFERROR(
     INDEX(_xlpm.matches, MATCH(TRUE, _xlpm.matches&lt;&gt;"", 0)),
     ""
   )
)</f>
        <v/>
      </c>
      <c r="I39" t="str" cm="1">
        <f t="array" ref="I39">_xlfn.LET(
   _xlpm.group, Shelly[[#This Row],[Code]],
   _xlpm.matches, _xlfn._xlws.FILTER(LightSpec[S4], LEFT(LightSpec[From], LEN(_xlpm.group)) = _xlpm.group),
   IFERROR(
     INDEX(_xlpm.matches, MATCH(TRUE, _xlpm.matches&lt;&gt;"", 0)),
     ""
   )
)</f>
        <v/>
      </c>
      <c r="J39" t="str" cm="1">
        <f t="array" ref="J39">_xlfn.XLOOKUP(_xlfn.XLOOKUP(Shelly[[#This Row],[Code]]&amp; Shelly[[#Headers],[O1]], LightSpec[From],LightSpec[Room], "No room"), Rooms[Code],Rooms[Room], "Empty") &amp; _xlfn.XLOOKUP(Shelly[[#This Row],[Code]]&amp; Shelly[[#Headers],[O1]], LightSpec[From], " (" &amp;LightSpec[DiagNo] &amp; ")", "")</f>
        <v>Empty</v>
      </c>
      <c r="K39" t="str" cm="1">
        <f t="array" ref="K39">_xlfn.XLOOKUP(_xlfn.XLOOKUP(Shelly[[#This Row],[Code]]&amp; Shelly[[#Headers],[O2]], LightSpec[From],LightSpec[Room], "No room"), Rooms[Code],Rooms[Room], "Empty") &amp; _xlfn.XLOOKUP(Shelly[[#This Row],[Code]]&amp; Shelly[[#Headers],[O2]], LightSpec[From], " (" &amp;LightSpec[DiagNo] &amp; ")", "")</f>
        <v>Empty</v>
      </c>
      <c r="L39" t="str" cm="1">
        <f t="array" ref="L39">IF(LEFT(Shelly[[#This Row],[Code]])="D", "NA", _xlfn.XLOOKUP(_xlfn.XLOOKUP(Shelly[[#This Row],[Code]]&amp; Shelly[[#Headers],[O3]], LightSpec[From],LightSpec[Room], "No room"), Rooms[Code],Rooms[Room], "Empty") &amp; _xlfn.XLOOKUP(Shelly[[#This Row],[Code]]&amp; Shelly[[#Headers],[O3]], LightSpec[From]," (" &amp; LightSpec[DiagNo] &amp; ")", ""))</f>
        <v>Empty</v>
      </c>
      <c r="M39" t="str" cm="1">
        <f t="array" ref="M39">IF(LEFT(Shelly[[#This Row],[Code]])="D", "NA", _xlfn.XLOOKUP(_xlfn.XLOOKUP(Shelly[[#This Row],[Code]]&amp; Shelly[[#Headers],[O4]], LightSpec[From],LightSpec[Room], "No room"), Rooms[Code],Rooms[Room], "Empty") &amp; _xlfn.XLOOKUP(Shelly[[#This Row],[Code]]&amp; Shelly[[#Headers],[O4]], LightSpec[From]," (" &amp; LightSpec[DiagNo] &amp; ")", ""))</f>
        <v>Empty</v>
      </c>
      <c r="N39" t="s">
        <v>681</v>
      </c>
    </row>
    <row r="40" spans="1:14" x14ac:dyDescent="0.25">
      <c r="A40" t="s">
        <v>682</v>
      </c>
      <c r="B40" t="str">
        <f>_xlfn.XLOOKUP(MID(Shelly[[#This Row],[Code]],1,1), Device[Code],Device[Device])</f>
        <v>Shelly Retro</v>
      </c>
      <c r="C40" t="str">
        <f>MID(Shelly[[#This Row],[Code]],2,3)</f>
        <v>03</v>
      </c>
      <c r="D40" t="s">
        <v>684</v>
      </c>
      <c r="E40" t="str">
        <f>subnetStart&amp;_xlfn.XLOOKUP(Shelly[[#This Row],[Type]],IPConfig[Device],IPConfig[Start])+Shelly[[#This Row],[No]]-1</f>
        <v>192.168.10.72</v>
      </c>
      <c r="F40" t="str" cm="1">
        <f t="array" ref="F40">_xlfn.LET(
   _xlpm.group, Shelly[[#This Row],[Code]],
   _xlpm.matches, _xlfn._xlws.FILTER(LightSpec[S1], LEFT(LightSpec[From], LEN(_xlpm.group)) = _xlpm.group),
   IFERROR(
     INDEX(_xlpm.matches, MATCH(TRUE, _xlpm.matches&lt;&gt;"", 0)),
     ""
   )
)</f>
        <v/>
      </c>
      <c r="G40" t="str" cm="1">
        <f t="array" ref="G40">_xlfn.LET(
   _xlpm.group, Shelly[[#This Row],[Code]],
   _xlpm.matches, _xlfn._xlws.FILTER(LightSpec[S2], LEFT(LightSpec[From], LEN(_xlpm.group)) = _xlpm.group),
   IFERROR(
     INDEX(_xlpm.matches, MATCH(TRUE, _xlpm.matches&lt;&gt;"", 0)),
     ""
   )
)</f>
        <v/>
      </c>
      <c r="H40" t="str" cm="1">
        <f t="array" ref="H40">_xlfn.LET(
   _xlpm.group, Shelly[[#This Row],[Code]],
   _xlpm.matches, _xlfn._xlws.FILTER(LightSpec[S3], LEFT(LightSpec[From], LEN(_xlpm.group)) = _xlpm.group),
   IFERROR(
     INDEX(_xlpm.matches, MATCH(TRUE, _xlpm.matches&lt;&gt;"", 0)),
     ""
   )
)</f>
        <v/>
      </c>
      <c r="I40" t="str" cm="1">
        <f t="array" ref="I40">_xlfn.LET(
   _xlpm.group, Shelly[[#This Row],[Code]],
   _xlpm.matches, _xlfn._xlws.FILTER(LightSpec[S4], LEFT(LightSpec[From], LEN(_xlpm.group)) = _xlpm.group),
   IFERROR(
     INDEX(_xlpm.matches, MATCH(TRUE, _xlpm.matches&lt;&gt;"", 0)),
     ""
   )
)</f>
        <v/>
      </c>
      <c r="J40" t="str" cm="1">
        <f t="array" ref="J40">_xlfn.XLOOKUP(_xlfn.XLOOKUP(Shelly[[#This Row],[Code]]&amp; Shelly[[#Headers],[O1]], LightSpec[From],LightSpec[Room], "No room"), Rooms[Code],Rooms[Room], "Empty") &amp; _xlfn.XLOOKUP(Shelly[[#This Row],[Code]]&amp; Shelly[[#Headers],[O1]], LightSpec[From], " (" &amp;LightSpec[DiagNo] &amp; ")", "")</f>
        <v>Empty</v>
      </c>
      <c r="K40" t="str" cm="1">
        <f t="array" ref="K40">_xlfn.XLOOKUP(_xlfn.XLOOKUP(Shelly[[#This Row],[Code]]&amp; Shelly[[#Headers],[O2]], LightSpec[From],LightSpec[Room], "No room"), Rooms[Code],Rooms[Room], "Empty") &amp; _xlfn.XLOOKUP(Shelly[[#This Row],[Code]]&amp; Shelly[[#Headers],[O2]], LightSpec[From], " (" &amp;LightSpec[DiagNo] &amp; ")", "")</f>
        <v>Empty</v>
      </c>
      <c r="L40" t="str" cm="1">
        <f t="array" ref="L40">IF(LEFT(Shelly[[#This Row],[Code]])="D", "NA", _xlfn.XLOOKUP(_xlfn.XLOOKUP(Shelly[[#This Row],[Code]]&amp; Shelly[[#Headers],[O3]], LightSpec[From],LightSpec[Room], "No room"), Rooms[Code],Rooms[Room], "Empty") &amp; _xlfn.XLOOKUP(Shelly[[#This Row],[Code]]&amp; Shelly[[#Headers],[O3]], LightSpec[From]," (" &amp; LightSpec[DiagNo] &amp; ")", ""))</f>
        <v>Empty</v>
      </c>
      <c r="M40" t="str" cm="1">
        <f t="array" ref="M40">IF(LEFT(Shelly[[#This Row],[Code]])="D", "NA", _xlfn.XLOOKUP(_xlfn.XLOOKUP(Shelly[[#This Row],[Code]]&amp; Shelly[[#Headers],[O4]], LightSpec[From],LightSpec[Room], "No room"), Rooms[Code],Rooms[Room], "Empty") &amp; _xlfn.XLOOKUP(Shelly[[#This Row],[Code]]&amp; Shelly[[#Headers],[O4]], LightSpec[From]," (" &amp; LightSpec[DiagNo] &amp; ")", ""))</f>
        <v>Empty</v>
      </c>
      <c r="N40" t="s">
        <v>685</v>
      </c>
    </row>
    <row r="41" spans="1:14" x14ac:dyDescent="0.25">
      <c r="A41" t="s">
        <v>683</v>
      </c>
      <c r="B41" t="str">
        <f>_xlfn.XLOOKUP(MID(Shelly[[#This Row],[Code]],1,1), Device[Code],Device[Device])</f>
        <v>Shelly Retro</v>
      </c>
      <c r="C41" t="str">
        <f>MID(Shelly[[#This Row],[Code]],2,3)</f>
        <v>04</v>
      </c>
      <c r="D41" t="s">
        <v>687</v>
      </c>
      <c r="E41" t="str">
        <f>subnetStart&amp;_xlfn.XLOOKUP(Shelly[[#This Row],[Type]],IPConfig[Device],IPConfig[Start])+Shelly[[#This Row],[No]]-1</f>
        <v>192.168.10.73</v>
      </c>
      <c r="F41" t="str" cm="1">
        <f t="array" ref="F41">_xlfn.LET(
   _xlpm.group, Shelly[[#This Row],[Code]],
   _xlpm.matches, _xlfn._xlws.FILTER(LightSpec[S1], LEFT(LightSpec[From], LEN(_xlpm.group)) = _xlpm.group),
   IFERROR(
     INDEX(_xlpm.matches, MATCH(TRUE, _xlpm.matches&lt;&gt;"", 0)),
     ""
   )
)</f>
        <v/>
      </c>
      <c r="G41" t="str" cm="1">
        <f t="array" ref="G41">_xlfn.LET(
   _xlpm.group, Shelly[[#This Row],[Code]],
   _xlpm.matches, _xlfn._xlws.FILTER(LightSpec[S2], LEFT(LightSpec[From], LEN(_xlpm.group)) = _xlpm.group),
   IFERROR(
     INDEX(_xlpm.matches, MATCH(TRUE, _xlpm.matches&lt;&gt;"", 0)),
     ""
   )
)</f>
        <v/>
      </c>
      <c r="H41" t="str" cm="1">
        <f t="array" ref="H41">_xlfn.LET(
   _xlpm.group, Shelly[[#This Row],[Code]],
   _xlpm.matches, _xlfn._xlws.FILTER(LightSpec[S3], LEFT(LightSpec[From], LEN(_xlpm.group)) = _xlpm.group),
   IFERROR(
     INDEX(_xlpm.matches, MATCH(TRUE, _xlpm.matches&lt;&gt;"", 0)),
     ""
   )
)</f>
        <v/>
      </c>
      <c r="I41" t="str" cm="1">
        <f t="array" ref="I41">_xlfn.LET(
   _xlpm.group, Shelly[[#This Row],[Code]],
   _xlpm.matches, _xlfn._xlws.FILTER(LightSpec[S4], LEFT(LightSpec[From], LEN(_xlpm.group)) = _xlpm.group),
   IFERROR(
     INDEX(_xlpm.matches, MATCH(TRUE, _xlpm.matches&lt;&gt;"", 0)),
     ""
   )
)</f>
        <v/>
      </c>
      <c r="J41" t="str" cm="1">
        <f t="array" ref="J41">_xlfn.XLOOKUP(_xlfn.XLOOKUP(Shelly[[#This Row],[Code]]&amp; Shelly[[#Headers],[O1]], LightSpec[From],LightSpec[Room], "No room"), Rooms[Code],Rooms[Room], "Empty") &amp; _xlfn.XLOOKUP(Shelly[[#This Row],[Code]]&amp; Shelly[[#Headers],[O1]], LightSpec[From], " (" &amp;LightSpec[DiagNo] &amp; ")", "")</f>
        <v>Empty</v>
      </c>
      <c r="K41" t="str" cm="1">
        <f t="array" ref="K41">_xlfn.XLOOKUP(_xlfn.XLOOKUP(Shelly[[#This Row],[Code]]&amp; Shelly[[#Headers],[O2]], LightSpec[From],LightSpec[Room], "No room"), Rooms[Code],Rooms[Room], "Empty") &amp; _xlfn.XLOOKUP(Shelly[[#This Row],[Code]]&amp; Shelly[[#Headers],[O2]], LightSpec[From], " (" &amp;LightSpec[DiagNo] &amp; ")", "")</f>
        <v>Empty</v>
      </c>
      <c r="L41" t="str" cm="1">
        <f t="array" ref="L41">IF(LEFT(Shelly[[#This Row],[Code]])="D", "NA", _xlfn.XLOOKUP(_xlfn.XLOOKUP(Shelly[[#This Row],[Code]]&amp; Shelly[[#Headers],[O3]], LightSpec[From],LightSpec[Room], "No room"), Rooms[Code],Rooms[Room], "Empty") &amp; _xlfn.XLOOKUP(Shelly[[#This Row],[Code]]&amp; Shelly[[#Headers],[O3]], LightSpec[From]," (" &amp; LightSpec[DiagNo] &amp; ")", ""))</f>
        <v>Empty</v>
      </c>
      <c r="M41" t="str" cm="1">
        <f t="array" ref="M41">IF(LEFT(Shelly[[#This Row],[Code]])="D", "NA", _xlfn.XLOOKUP(_xlfn.XLOOKUP(Shelly[[#This Row],[Code]]&amp; Shelly[[#Headers],[O4]], LightSpec[From],LightSpec[Room], "No room"), Rooms[Code],Rooms[Room], "Empty") &amp; _xlfn.XLOOKUP(Shelly[[#This Row],[Code]]&amp; Shelly[[#Headers],[O4]], LightSpec[From]," (" &amp; LightSpec[DiagNo] &amp; ")", ""))</f>
        <v>Empty</v>
      </c>
      <c r="N41" t="s">
        <v>688</v>
      </c>
    </row>
    <row r="42" spans="1:14" x14ac:dyDescent="0.25">
      <c r="A42" t="s">
        <v>686</v>
      </c>
      <c r="B42" t="str">
        <f>_xlfn.XLOOKUP(MID(Shelly[[#This Row],[Code]],1,1), Device[Code],Device[Device])</f>
        <v>Shelly Retro</v>
      </c>
      <c r="C42" t="str">
        <f>MID(Shelly[[#This Row],[Code]],2,3)</f>
        <v>05</v>
      </c>
      <c r="D42" t="s">
        <v>689</v>
      </c>
      <c r="E42" t="str">
        <f>subnetStart&amp;_xlfn.XLOOKUP(Shelly[[#This Row],[Type]],IPConfig[Device],IPConfig[Start])+Shelly[[#This Row],[No]]-1</f>
        <v>192.168.10.74</v>
      </c>
      <c r="F42" t="str" cm="1">
        <f t="array" ref="F42">_xlfn.LET(
   _xlpm.group, Shelly[[#This Row],[Code]],
   _xlpm.matches, _xlfn._xlws.FILTER(LightSpec[S1], LEFT(LightSpec[From], LEN(_xlpm.group)) = _xlpm.group),
   IFERROR(
     INDEX(_xlpm.matches, MATCH(TRUE, _xlpm.matches&lt;&gt;"", 0)),
     ""
   )
)</f>
        <v/>
      </c>
      <c r="G42" t="str" cm="1">
        <f t="array" ref="G42">_xlfn.LET(
   _xlpm.group, Shelly[[#This Row],[Code]],
   _xlpm.matches, _xlfn._xlws.FILTER(LightSpec[S2], LEFT(LightSpec[From], LEN(_xlpm.group)) = _xlpm.group),
   IFERROR(
     INDEX(_xlpm.matches, MATCH(TRUE, _xlpm.matches&lt;&gt;"", 0)),
     ""
   )
)</f>
        <v/>
      </c>
      <c r="H42" t="str" cm="1">
        <f t="array" ref="H42">_xlfn.LET(
   _xlpm.group, Shelly[[#This Row],[Code]],
   _xlpm.matches, _xlfn._xlws.FILTER(LightSpec[S3], LEFT(LightSpec[From], LEN(_xlpm.group)) = _xlpm.group),
   IFERROR(
     INDEX(_xlpm.matches, MATCH(TRUE, _xlpm.matches&lt;&gt;"", 0)),
     ""
   )
)</f>
        <v/>
      </c>
      <c r="I42" t="str" cm="1">
        <f t="array" ref="I42">_xlfn.LET(
   _xlpm.group, Shelly[[#This Row],[Code]],
   _xlpm.matches, _xlfn._xlws.FILTER(LightSpec[S4], LEFT(LightSpec[From], LEN(_xlpm.group)) = _xlpm.group),
   IFERROR(
     INDEX(_xlpm.matches, MATCH(TRUE, _xlpm.matches&lt;&gt;"", 0)),
     ""
   )
)</f>
        <v/>
      </c>
      <c r="J42" t="str" cm="1">
        <f t="array" ref="J42">_xlfn.XLOOKUP(_xlfn.XLOOKUP(Shelly[[#This Row],[Code]]&amp; Shelly[[#Headers],[O1]], LightSpec[From],LightSpec[Room], "No room"), Rooms[Code],Rooms[Room], "Empty") &amp; _xlfn.XLOOKUP(Shelly[[#This Row],[Code]]&amp; Shelly[[#Headers],[O1]], LightSpec[From], " (" &amp;LightSpec[DiagNo] &amp; ")", "")</f>
        <v>Empty</v>
      </c>
      <c r="K42" t="str" cm="1">
        <f t="array" ref="K42">_xlfn.XLOOKUP(_xlfn.XLOOKUP(Shelly[[#This Row],[Code]]&amp; Shelly[[#Headers],[O2]], LightSpec[From],LightSpec[Room], "No room"), Rooms[Code],Rooms[Room], "Empty") &amp; _xlfn.XLOOKUP(Shelly[[#This Row],[Code]]&amp; Shelly[[#Headers],[O2]], LightSpec[From], " (" &amp;LightSpec[DiagNo] &amp; ")", "")</f>
        <v>Empty</v>
      </c>
      <c r="L42" t="str" cm="1">
        <f t="array" ref="L42">IF(LEFT(Shelly[[#This Row],[Code]])="D", "NA", _xlfn.XLOOKUP(_xlfn.XLOOKUP(Shelly[[#This Row],[Code]]&amp; Shelly[[#Headers],[O3]], LightSpec[From],LightSpec[Room], "No room"), Rooms[Code],Rooms[Room], "Empty") &amp; _xlfn.XLOOKUP(Shelly[[#This Row],[Code]]&amp; Shelly[[#Headers],[O3]], LightSpec[From]," (" &amp; LightSpec[DiagNo] &amp; ")", ""))</f>
        <v>Empty</v>
      </c>
      <c r="M42" t="str" cm="1">
        <f t="array" ref="M42">IF(LEFT(Shelly[[#This Row],[Code]])="D", "NA", _xlfn.XLOOKUP(_xlfn.XLOOKUP(Shelly[[#This Row],[Code]]&amp; Shelly[[#Headers],[O4]], LightSpec[From],LightSpec[Room], "No room"), Rooms[Code],Rooms[Room], "Empty") &amp; _xlfn.XLOOKUP(Shelly[[#This Row],[Code]]&amp; Shelly[[#Headers],[O4]], LightSpec[From]," (" &amp; LightSpec[DiagNo] &amp; ")", ""))</f>
        <v>Empty</v>
      </c>
      <c r="N42" t="s">
        <v>690</v>
      </c>
    </row>
    <row r="43" spans="1:14" x14ac:dyDescent="0.25">
      <c r="A43" t="s">
        <v>691</v>
      </c>
      <c r="B43" t="str">
        <f>_xlfn.XLOOKUP(MID(Shelly[[#This Row],[Code]],1,1), Device[Code],Device[Device])</f>
        <v>Shelly Retro</v>
      </c>
      <c r="C43" t="str">
        <f>MID(Shelly[[#This Row],[Code]],2,3)</f>
        <v>06</v>
      </c>
      <c r="D43" t="s">
        <v>692</v>
      </c>
      <c r="E43" t="str">
        <f>subnetStart&amp;_xlfn.XLOOKUP(Shelly[[#This Row],[Type]],IPConfig[Device],IPConfig[Start])+Shelly[[#This Row],[No]]-1</f>
        <v>192.168.10.75</v>
      </c>
      <c r="F43" t="str" cm="1">
        <f t="array" ref="F43">_xlfn.LET(
   _xlpm.group, Shelly[[#This Row],[Code]],
   _xlpm.matches, _xlfn._xlws.FILTER(LightSpec[S1], LEFT(LightSpec[From], LEN(_xlpm.group)) = _xlpm.group),
   IFERROR(
     INDEX(_xlpm.matches, MATCH(TRUE, _xlpm.matches&lt;&gt;"", 0)),
     ""
   )
)</f>
        <v/>
      </c>
      <c r="G43" t="str" cm="1">
        <f t="array" ref="G43">_xlfn.LET(
   _xlpm.group, Shelly[[#This Row],[Code]],
   _xlpm.matches, _xlfn._xlws.FILTER(LightSpec[S2], LEFT(LightSpec[From], LEN(_xlpm.group)) = _xlpm.group),
   IFERROR(
     INDEX(_xlpm.matches, MATCH(TRUE, _xlpm.matches&lt;&gt;"", 0)),
     ""
   )
)</f>
        <v/>
      </c>
      <c r="H43" t="str" cm="1">
        <f t="array" ref="H43">_xlfn.LET(
   _xlpm.group, Shelly[[#This Row],[Code]],
   _xlpm.matches, _xlfn._xlws.FILTER(LightSpec[S3], LEFT(LightSpec[From], LEN(_xlpm.group)) = _xlpm.group),
   IFERROR(
     INDEX(_xlpm.matches, MATCH(TRUE, _xlpm.matches&lt;&gt;"", 0)),
     ""
   )
)</f>
        <v/>
      </c>
      <c r="I43" t="str" cm="1">
        <f t="array" ref="I43">_xlfn.LET(
   _xlpm.group, Shelly[[#This Row],[Code]],
   _xlpm.matches, _xlfn._xlws.FILTER(LightSpec[S4], LEFT(LightSpec[From], LEN(_xlpm.group)) = _xlpm.group),
   IFERROR(
     INDEX(_xlpm.matches, MATCH(TRUE, _xlpm.matches&lt;&gt;"", 0)),
     ""
   )
)</f>
        <v/>
      </c>
      <c r="J43" t="str" cm="1">
        <f t="array" ref="J43">_xlfn.XLOOKUP(_xlfn.XLOOKUP(Shelly[[#This Row],[Code]]&amp; Shelly[[#Headers],[O1]], LightSpec[From],LightSpec[Room], "No room"), Rooms[Code],Rooms[Room], "Empty") &amp; _xlfn.XLOOKUP(Shelly[[#This Row],[Code]]&amp; Shelly[[#Headers],[O1]], LightSpec[From], " (" &amp;LightSpec[DiagNo] &amp; ")", "")</f>
        <v>Empty</v>
      </c>
      <c r="K43" t="str" cm="1">
        <f t="array" ref="K43">_xlfn.XLOOKUP(_xlfn.XLOOKUP(Shelly[[#This Row],[Code]]&amp; Shelly[[#Headers],[O2]], LightSpec[From],LightSpec[Room], "No room"), Rooms[Code],Rooms[Room], "Empty") &amp; _xlfn.XLOOKUP(Shelly[[#This Row],[Code]]&amp; Shelly[[#Headers],[O2]], LightSpec[From], " (" &amp;LightSpec[DiagNo] &amp; ")", "")</f>
        <v>Empty</v>
      </c>
      <c r="L43" t="str" cm="1">
        <f t="array" ref="L43">IF(LEFT(Shelly[[#This Row],[Code]])="D", "NA", _xlfn.XLOOKUP(_xlfn.XLOOKUP(Shelly[[#This Row],[Code]]&amp; Shelly[[#Headers],[O3]], LightSpec[From],LightSpec[Room], "No room"), Rooms[Code],Rooms[Room], "Empty") &amp; _xlfn.XLOOKUP(Shelly[[#This Row],[Code]]&amp; Shelly[[#Headers],[O3]], LightSpec[From]," (" &amp; LightSpec[DiagNo] &amp; ")", ""))</f>
        <v>Empty</v>
      </c>
      <c r="M43" t="str" cm="1">
        <f t="array" ref="M43">IF(LEFT(Shelly[[#This Row],[Code]])="D", "NA", _xlfn.XLOOKUP(_xlfn.XLOOKUP(Shelly[[#This Row],[Code]]&amp; Shelly[[#Headers],[O4]], LightSpec[From],LightSpec[Room], "No room"), Rooms[Code],Rooms[Room], "Empty") &amp; _xlfn.XLOOKUP(Shelly[[#This Row],[Code]]&amp; Shelly[[#Headers],[O4]], LightSpec[From]," (" &amp; LightSpec[DiagNo] &amp; ")", ""))</f>
        <v>Empty</v>
      </c>
      <c r="N43" t="s">
        <v>693</v>
      </c>
    </row>
    <row r="49" spans="2:2" x14ac:dyDescent="0.25">
      <c r="B49" t="s">
        <v>622</v>
      </c>
    </row>
    <row r="50" spans="2:2" x14ac:dyDescent="0.25">
      <c r="B50" t="s">
        <v>624</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FF97-8B4A-4E59-AEAD-38707CCDF7D9}">
  <sheetPr>
    <pageSetUpPr fitToPage="1"/>
  </sheetPr>
  <dimension ref="A1:M37"/>
  <sheetViews>
    <sheetView topLeftCell="A13" workbookViewId="0">
      <selection activeCell="C4" sqref="C4"/>
    </sheetView>
  </sheetViews>
  <sheetFormatPr defaultRowHeight="15.75" x14ac:dyDescent="0.25"/>
  <cols>
    <col min="1" max="2" width="7" bestFit="1" customWidth="1"/>
    <col min="3" max="6" width="22.625" bestFit="1" customWidth="1"/>
    <col min="7" max="7" width="14.75" bestFit="1" customWidth="1"/>
    <col min="8" max="8" width="14.125" bestFit="1" customWidth="1"/>
    <col min="9" max="9" width="13.25" bestFit="1" customWidth="1"/>
    <col min="10" max="10" width="12.125" bestFit="1" customWidth="1"/>
    <col min="13" max="13" width="31.625" bestFit="1" customWidth="1"/>
  </cols>
  <sheetData>
    <row r="1" spans="1:13" x14ac:dyDescent="0.25">
      <c r="A1" t="s">
        <v>174</v>
      </c>
      <c r="B1" t="s">
        <v>188</v>
      </c>
      <c r="C1" t="s">
        <v>643</v>
      </c>
      <c r="D1" t="s">
        <v>644</v>
      </c>
      <c r="E1" t="s">
        <v>645</v>
      </c>
      <c r="F1" t="s">
        <v>646</v>
      </c>
      <c r="G1" t="s">
        <v>190</v>
      </c>
      <c r="H1" t="s">
        <v>191</v>
      </c>
      <c r="I1" t="s">
        <v>196</v>
      </c>
      <c r="J1" t="s">
        <v>197</v>
      </c>
      <c r="M1" t="s">
        <v>647</v>
      </c>
    </row>
    <row r="2" spans="1:13" x14ac:dyDescent="0.25">
      <c r="A2" t="s">
        <v>238</v>
      </c>
      <c r="B2" t="str">
        <f>IF(MID(Shelly12[[#This Row],[Code]],1,1)="P", "4PM", "D2PM")</f>
        <v>4PM</v>
      </c>
      <c r="C2" t="str" cm="1">
        <f t="array" ref="C2">_xlfn.LET(
   _xlpm.group, Shelly12[[#This Row],[Code]],
   _xlpm.matches, _xlfn._xlws.FILTER(LightSpec[CS1], LEFT(LightSpec[From], LEN(_xlpm.group)) = _xlpm.group),
   IFERROR(
     INDEX(_xlpm.matches, MATCH(TRUE, _xlpm.matches&lt;&gt;"", 0)),
     ""
   )
)</f>
        <v>P1S1-FEL-R1 (PIR R1)</v>
      </c>
      <c r="D2" t="str" cm="1">
        <f t="array" ref="D2">_xlfn.LET(
   _xlpm.group, Shelly12[[#This Row],[Code]],
   _xlpm.matches, _xlfn._xlws.FILTER(LightSpec[CS2], LEFT(LightSpec[From], LEN(_xlpm.group)) = _xlpm.group),
   IFERROR(
     INDEX(_xlpm.matches, MATCH(TRUE, _xlpm.matches&lt;&gt;"", 0)),
     ""
   )
)</f>
        <v>P1S2-GLR-R1 (PIR R1)</v>
      </c>
      <c r="E2" t="str" cm="1">
        <f t="array" ref="E2">_xlfn.LET(
   _xlpm.group, Shelly12[[#This Row],[Code]],
   _xlpm.matches, _xlfn._xlws.FILTER(LightSpec[CS3], LEFT(LightSpec[From], LEN(_xlpm.group)) = _xlpm.group),
   IFERROR(
     INDEX(_xlpm.matches, MATCH(TRUE, _xlpm.matches&lt;&gt;"", 0)),
     ""
   )
)</f>
        <v>P1S3-GPT-R1 (PIR R1)</v>
      </c>
      <c r="F2" t="str" cm="1">
        <f t="array" ref="F2">_xlfn.LET(
   _xlpm.group, Shelly12[[#This Row],[Code]],
   _xlpm.matches, _xlfn._xlws.FILTER(LightSpec[CS4], LEFT(LightSpec[From], LEN(_xlpm.group)) = _xlpm.group),
   IFERROR(
     INDEX(_xlpm.matches, MATCH(TRUE, _xlpm.matches&lt;&gt;"", 0)),
     ""
   )
)</f>
        <v>P1S4-GWC-R1 (PIR R1)</v>
      </c>
      <c r="G2" t="str">
        <f>_xlfn.XLOOKUP(Shelly12[[#This Row],[Code]]&amp; "O1", LightSpec[From],LightSpec[Code], "EMPTY")</f>
        <v>P1O1-GEG-CX</v>
      </c>
      <c r="H2" t="str">
        <f>_xlfn.XLOOKUP(Shelly12[[#This Row],[Code]]&amp; "O2", LightSpec[From],LightSpec[Code], "EMPTY")</f>
        <v>P1O2-GEG-C1</v>
      </c>
      <c r="I2" t="str">
        <f>IF(LEFT(Shelly12[[#This Row],[Code]])="D", "NA", _xlfn.XLOOKUP(Shelly12[[#This Row],[Code]]&amp; "O3", LightSpec[From],LightSpec[Code], "EMPTY"))</f>
        <v>P1O3-GEG-C2</v>
      </c>
      <c r="J2" t="str">
        <f>IF(LEFT(Shelly12[[#This Row],[Code]])="D", "NA", _xlfn.XLOOKUP(Shelly12[[#This Row],[Code]]&amp; "O4", LightSpec[From],LightSpec[Code], "EMPTY"))</f>
        <v>P1O4-GEG-C3</v>
      </c>
    </row>
    <row r="3" spans="1:13" x14ac:dyDescent="0.25">
      <c r="A3" t="s">
        <v>237</v>
      </c>
      <c r="B3" t="str">
        <f>IF(MID(Shelly12[[#This Row],[Code]],1,1)="P", "4PM", "D2PM")</f>
        <v>4PM</v>
      </c>
      <c r="C3" t="str" cm="1">
        <f t="array" ref="C3">_xlfn.LET(
   _xlpm.group, Shelly12[[#This Row],[Code]],
   _xlpm.matches, _xlfn._xlws.FILTER(LightSpec[CS1], LEFT(LightSpec[From], LEN(_xlpm.group)) = _xlpm.group),
   IFERROR(
     INDEX(_xlpm.matches, MATCH(TRUE, _xlpm.matches&lt;&gt;"", 0)),
     ""
   )
)</f>
        <v>P2S1-FME-R1 (PIR R1)</v>
      </c>
      <c r="D3" t="str" cm="1">
        <f t="array" ref="D3">_xlfn.LET(
   _xlpm.group, Shelly12[[#This Row],[Code]],
   _xlpm.matches, _xlfn._xlws.FILTER(LightSpec[CS2], LEFT(LightSpec[From], LEN(_xlpm.group)) = _xlpm.group),
   IFERROR(
     INDEX(_xlpm.matches, MATCH(TRUE, _xlpm.matches&lt;&gt;"", 0)),
     ""
   )
)</f>
        <v>P2S2-FE2-R1 (PIR R1)</v>
      </c>
      <c r="E3" t="str" cm="1">
        <f t="array" ref="E3">_xlfn.LET(
   _xlpm.group, Shelly12[[#This Row],[Code]],
   _xlpm.matches, _xlfn._xlws.FILTER(LightSpec[CS3], LEFT(LightSpec[From], LEN(_xlpm.group)) = _xlpm.group),
   IFERROR(
     INDEX(_xlpm.matches, MATCH(TRUE, _xlpm.matches&lt;&gt;"", 0)),
     ""
   )
)</f>
        <v>P2S3-FE3-R1 (PIR R1)</v>
      </c>
      <c r="F3" t="str" cm="1">
        <f t="array" ref="F3">_xlfn.LET(
   _xlpm.group, Shelly12[[#This Row],[Code]],
   _xlpm.matches, _xlfn._xlws.FILTER(LightSpec[CS4], LEFT(LightSpec[From], LEN(_xlpm.group)) = _xlpm.group),
   IFERROR(
     INDEX(_xlpm.matches, MATCH(TRUE, _xlpm.matches&lt;&gt;"", 0)),
     ""
   )
)</f>
        <v>P2S4-FE4-R1 (PIR R1)</v>
      </c>
      <c r="G3" t="str">
        <f>_xlfn.XLOOKUP(Shelly12[[#This Row],[Code]]&amp; "O1", LightSpec[From],LightSpec[Code], "EMPTY")</f>
        <v>P2O1-GEG-C4</v>
      </c>
      <c r="H3" t="str">
        <f>_xlfn.XLOOKUP(Shelly12[[#This Row],[Code]]&amp; "O2", LightSpec[From],LightSpec[Code], "EMPTY")</f>
        <v>P2O2-GEG-C5</v>
      </c>
      <c r="I3" t="str">
        <f>IF(LEFT(Shelly12[[#This Row],[Code]])="D", "NA", _xlfn.XLOOKUP(Shelly12[[#This Row],[Code]]&amp; "O3", LightSpec[From],LightSpec[Code], "EMPTY"))</f>
        <v>P2O3-GEG-C6</v>
      </c>
      <c r="J3" t="str">
        <f>IF(LEFT(Shelly12[[#This Row],[Code]])="D", "NA", _xlfn.XLOOKUP(Shelly12[[#This Row],[Code]]&amp; "O4", LightSpec[From],LightSpec[Code], "EMPTY"))</f>
        <v>P2O4-GEG-C7</v>
      </c>
    </row>
    <row r="4" spans="1:13" x14ac:dyDescent="0.25">
      <c r="A4" t="s">
        <v>245</v>
      </c>
      <c r="B4" t="str">
        <f>IF(MID(Shelly12[[#This Row],[Code]],1,1)="P", "4PM", "D2PM")</f>
        <v>4PM</v>
      </c>
      <c r="C4" t="str" cm="1">
        <f t="array" ref="C4">_xlfn.LET(
   _xlpm.group, Shelly12[[#This Row],[Code]],
   _xlpm.matches, _xlfn._xlws.FILTER(LightSpec[CS1], LEFT(LightSpec[From], LEN(_xlpm.group)) = _xlpm.group),
   IFERROR(
     INDEX(_xlpm.matches, MATCH(TRUE, _xlpm.matches&lt;&gt;"", 0)),
     ""
   )
)</f>
        <v>P3S1-FMB-R1 (PIR R1)</v>
      </c>
      <c r="D4" t="str" cm="1">
        <f t="array" ref="D4">_xlfn.LET(
   _xlpm.group, Shelly12[[#This Row],[Code]],
   _xlpm.matches, _xlfn._xlws.FILTER(LightSpec[CS2], LEFT(LightSpec[From], LEN(_xlpm.group)) = _xlpm.group),
   IFERROR(
     INDEX(_xlpm.matches, MATCH(TRUE, _xlpm.matches&lt;&gt;"", 0)),
     ""
   )
)</f>
        <v/>
      </c>
      <c r="E4" t="str" cm="1">
        <f t="array" ref="E4">_xlfn.LET(
   _xlpm.group, Shelly12[[#This Row],[Code]],
   _xlpm.matches, _xlfn._xlws.FILTER(LightSpec[CS3], LEFT(LightSpec[From], LEN(_xlpm.group)) = _xlpm.group),
   IFERROR(
     INDEX(_xlpm.matches, MATCH(TRUE, _xlpm.matches&lt;&gt;"", 0)),
     ""
   )
)</f>
        <v/>
      </c>
      <c r="F4" t="str" cm="1">
        <f t="array" ref="F4">_xlfn.LET(
   _xlpm.group, Shelly12[[#This Row],[Code]],
   _xlpm.matches, _xlfn._xlws.FILTER(LightSpec[CS4], LEFT(LightSpec[From], LEN(_xlpm.group)) = _xlpm.group),
   IFERROR(
     INDEX(_xlpm.matches, MATCH(TRUE, _xlpm.matches&lt;&gt;"", 0)),
     ""
   )
)</f>
        <v/>
      </c>
      <c r="G4" t="str">
        <f>_xlfn.XLOOKUP(Shelly12[[#This Row],[Code]]&amp; "O1", LightSpec[From],LightSpec[Code], "EMPTY")</f>
        <v>P3O1-GEG-C8</v>
      </c>
      <c r="H4" t="str">
        <f>_xlfn.XLOOKUP(Shelly12[[#This Row],[Code]]&amp; "O2", LightSpec[From],LightSpec[Code], "EMPTY")</f>
        <v>P3O2-GEG-C9</v>
      </c>
      <c r="I4" t="str">
        <f>IF(LEFT(Shelly12[[#This Row],[Code]])="D", "NA", _xlfn.XLOOKUP(Shelly12[[#This Row],[Code]]&amp; "O3", LightSpec[From],LightSpec[Code], "EMPTY"))</f>
        <v>P3O3-GEG-C10</v>
      </c>
      <c r="J4" t="str">
        <f>IF(LEFT(Shelly12[[#This Row],[Code]])="D", "NA", _xlfn.XLOOKUP(Shelly12[[#This Row],[Code]]&amp; "O4", LightSpec[From],LightSpec[Code], "EMPTY"))</f>
        <v>EMPTY</v>
      </c>
    </row>
    <row r="5" spans="1:13" x14ac:dyDescent="0.25">
      <c r="A5" t="s">
        <v>294</v>
      </c>
      <c r="B5" t="str">
        <f>IF(MID(Shelly12[[#This Row],[Code]],1,1)="P", "4PM", "D2PM")</f>
        <v>4PM</v>
      </c>
      <c r="C5" t="str" cm="1">
        <f t="array" ref="C5">_xlfn.LET(
   _xlpm.group, Shelly12[[#This Row],[Code]],
   _xlpm.matches, _xlfn._xlws.FILTER(LightSpec[CS1], LEFT(LightSpec[From], LEN(_xlpm.group)) = _xlpm.group),
   IFERROR(
     INDEX(_xlpm.matches, MATCH(TRUE, _xlpm.matches&lt;&gt;"", 0)),
     ""
   )
)</f>
        <v/>
      </c>
      <c r="D5" t="str" cm="1">
        <f t="array" ref="D5">_xlfn.LET(
   _xlpm.group, Shelly12[[#This Row],[Code]],
   _xlpm.matches, _xlfn._xlws.FILTER(LightSpec[CS2], LEFT(LightSpec[From], LEN(_xlpm.group)) = _xlpm.group),
   IFERROR(
     INDEX(_xlpm.matches, MATCH(TRUE, _xlpm.matches&lt;&gt;"", 0)),
     ""
   )
)</f>
        <v/>
      </c>
      <c r="E5" t="str" cm="1">
        <f t="array" ref="E5">_xlfn.LET(
   _xlpm.group, Shelly12[[#This Row],[Code]],
   _xlpm.matches, _xlfn._xlws.FILTER(LightSpec[CS3], LEFT(LightSpec[From], LEN(_xlpm.group)) = _xlpm.group),
   IFERROR(
     INDEX(_xlpm.matches, MATCH(TRUE, _xlpm.matches&lt;&gt;"", 0)),
     ""
   )
)</f>
        <v/>
      </c>
      <c r="F5" t="str" cm="1">
        <f t="array" ref="F5">_xlfn.LET(
   _xlpm.group, Shelly12[[#This Row],[Code]],
   _xlpm.matches, _xlfn._xlws.FILTER(LightSpec[CS4], LEFT(LightSpec[From], LEN(_xlpm.group)) = _xlpm.group),
   IFERROR(
     INDEX(_xlpm.matches, MATCH(TRUE, _xlpm.matches&lt;&gt;"", 0)),
     ""
   )
)</f>
        <v/>
      </c>
      <c r="G5" t="str">
        <f>_xlfn.XLOOKUP(Shelly12[[#This Row],[Code]]&amp; "O1", LightSpec[From],LightSpec[Code], "EMPTY")</f>
        <v>P4O1-GKD-C7</v>
      </c>
      <c r="H5" t="str">
        <f>_xlfn.XLOOKUP(Shelly12[[#This Row],[Code]]&amp; "O2", LightSpec[From],LightSpec[Code], "EMPTY")</f>
        <v>P4O2-GWC-C2</v>
      </c>
      <c r="I5" t="str">
        <f>IF(LEFT(Shelly12[[#This Row],[Code]])="D", "NA", _xlfn.XLOOKUP(Shelly12[[#This Row],[Code]]&amp; "O3", LightSpec[From],LightSpec[Code], "EMPTY"))</f>
        <v>P4O3-GWC-C3</v>
      </c>
      <c r="J5" t="str">
        <f>IF(LEFT(Shelly12[[#This Row],[Code]])="D", "NA", _xlfn.XLOOKUP(Shelly12[[#This Row],[Code]]&amp; "O4", LightSpec[From],LightSpec[Code], "EMPTY"))</f>
        <v>EMPTY</v>
      </c>
    </row>
    <row r="6" spans="1:13" x14ac:dyDescent="0.25">
      <c r="A6" t="s">
        <v>295</v>
      </c>
      <c r="B6" t="str">
        <f>IF(MID(Shelly12[[#This Row],[Code]],1,1)="P", "4PM", "D2PM")</f>
        <v>4PM</v>
      </c>
      <c r="C6" t="str" cm="1">
        <f t="array" ref="C6">_xlfn.LET(
   _xlpm.group, Shelly12[[#This Row],[Code]],
   _xlpm.matches, _xlfn._xlws.FILTER(LightSpec[CS1], LEFT(LightSpec[From], LEN(_xlpm.group)) = _xlpm.group),
   IFERROR(
     INDEX(_xlpm.matches, MATCH(TRUE, _xlpm.matches&lt;&gt;"", 0)),
     ""
   )
)</f>
        <v/>
      </c>
      <c r="D6" t="str" cm="1">
        <f t="array" ref="D6">_xlfn.LET(
   _xlpm.group, Shelly12[[#This Row],[Code]],
   _xlpm.matches, _xlfn._xlws.FILTER(LightSpec[CS2], LEFT(LightSpec[From], LEN(_xlpm.group)) = _xlpm.group),
   IFERROR(
     INDEX(_xlpm.matches, MATCH(TRUE, _xlpm.matches&lt;&gt;"", 0)),
     ""
   )
)</f>
        <v/>
      </c>
      <c r="E6" t="str" cm="1">
        <f t="array" ref="E6">_xlfn.LET(
   _xlpm.group, Shelly12[[#This Row],[Code]],
   _xlpm.matches, _xlfn._xlws.FILTER(LightSpec[CS3], LEFT(LightSpec[From], LEN(_xlpm.group)) = _xlpm.group),
   IFERROR(
     INDEX(_xlpm.matches, MATCH(TRUE, _xlpm.matches&lt;&gt;"", 0)),
     ""
   )
)</f>
        <v/>
      </c>
      <c r="F6" t="str" cm="1">
        <f t="array" ref="F6">_xlfn.LET(
   _xlpm.group, Shelly12[[#This Row],[Code]],
   _xlpm.matches, _xlfn._xlws.FILTER(LightSpec[CS4], LEFT(LightSpec[From], LEN(_xlpm.group)) = _xlpm.group),
   IFERROR(
     INDEX(_xlpm.matches, MATCH(TRUE, _xlpm.matches&lt;&gt;"", 0)),
     ""
   )
)</f>
        <v/>
      </c>
      <c r="G6" t="str">
        <f>_xlfn.XLOOKUP(Shelly12[[#This Row],[Code]]&amp; "O1", LightSpec[From],LightSpec[Code], "EMPTY")</f>
        <v>P5O1-FE3-C2</v>
      </c>
      <c r="H6" t="str">
        <f>_xlfn.XLOOKUP(Shelly12[[#This Row],[Code]]&amp; "O2", LightSpec[From],LightSpec[Code], "EMPTY")</f>
        <v>P5O2-FE3-C3</v>
      </c>
      <c r="I6" t="str">
        <f>IF(LEFT(Shelly12[[#This Row],[Code]])="D", "NA", _xlfn.XLOOKUP(Shelly12[[#This Row],[Code]]&amp; "O3", LightSpec[From],LightSpec[Code], "EMPTY"))</f>
        <v>EMPTY</v>
      </c>
      <c r="J6" t="str">
        <f>IF(LEFT(Shelly12[[#This Row],[Code]])="D", "NA", _xlfn.XLOOKUP(Shelly12[[#This Row],[Code]]&amp; "O4", LightSpec[From],LightSpec[Code], "EMPTY"))</f>
        <v>EMPTY</v>
      </c>
    </row>
    <row r="7" spans="1:13" x14ac:dyDescent="0.25">
      <c r="A7" t="s">
        <v>394</v>
      </c>
      <c r="B7" t="str">
        <f>IF(MID(Shelly12[[#This Row],[Code]],1,1)="P", "4PM", "D2PM")</f>
        <v>4PM</v>
      </c>
      <c r="C7" t="str" cm="1">
        <f t="array" ref="C7">_xlfn.LET(
   _xlpm.group, Shelly12[[#This Row],[Code]],
   _xlpm.matches, _xlfn._xlws.FILTER(LightSpec[CS1], LEFT(LightSpec[From], LEN(_xlpm.group)) = _xlpm.group),
   IFERROR(
     INDEX(_xlpm.matches, MATCH(TRUE, _xlpm.matches&lt;&gt;"", 0)),
     ""
   )
)</f>
        <v/>
      </c>
      <c r="D7" t="str" cm="1">
        <f t="array" ref="D7">_xlfn.LET(
   _xlpm.group, Shelly12[[#This Row],[Code]],
   _xlpm.matches, _xlfn._xlws.FILTER(LightSpec[CS2], LEFT(LightSpec[From], LEN(_xlpm.group)) = _xlpm.group),
   IFERROR(
     INDEX(_xlpm.matches, MATCH(TRUE, _xlpm.matches&lt;&gt;"", 0)),
     ""
   )
)</f>
        <v/>
      </c>
      <c r="E7" t="str" cm="1">
        <f t="array" ref="E7">_xlfn.LET(
   _xlpm.group, Shelly12[[#This Row],[Code]],
   _xlpm.matches, _xlfn._xlws.FILTER(LightSpec[CS3], LEFT(LightSpec[From], LEN(_xlpm.group)) = _xlpm.group),
   IFERROR(
     INDEX(_xlpm.matches, MATCH(TRUE, _xlpm.matches&lt;&gt;"", 0)),
     ""
   )
)</f>
        <v/>
      </c>
      <c r="F7" t="str" cm="1">
        <f t="array" ref="F7">_xlfn.LET(
   _xlpm.group, Shelly12[[#This Row],[Code]],
   _xlpm.matches, _xlfn._xlws.FILTER(LightSpec[CS4], LEFT(LightSpec[From], LEN(_xlpm.group)) = _xlpm.group),
   IFERROR(
     INDEX(_xlpm.matches, MATCH(TRUE, _xlpm.matches&lt;&gt;"", 0)),
     ""
   )
)</f>
        <v/>
      </c>
      <c r="G7" t="str">
        <f>_xlfn.XLOOKUP(Shelly12[[#This Row],[Code]]&amp; "O1", LightSpec[From],LightSpec[Code], "EMPTY")</f>
        <v>P6O1-FE4-C2</v>
      </c>
      <c r="H7" t="str">
        <f>_xlfn.XLOOKUP(Shelly12[[#This Row],[Code]]&amp; "O2", LightSpec[From],LightSpec[Code], "EMPTY")</f>
        <v>P6O2-FE4-C3</v>
      </c>
      <c r="I7" t="str">
        <f>IF(LEFT(Shelly12[[#This Row],[Code]])="D", "NA", _xlfn.XLOOKUP(Shelly12[[#This Row],[Code]]&amp; "O3", LightSpec[From],LightSpec[Code], "EMPTY"))</f>
        <v>P6O3-FE4-C4</v>
      </c>
      <c r="J7" t="str">
        <f>IF(LEFT(Shelly12[[#This Row],[Code]])="D", "NA", _xlfn.XLOOKUP(Shelly12[[#This Row],[Code]]&amp; "O4", LightSpec[From],LightSpec[Code], "EMPTY"))</f>
        <v>EMPTY</v>
      </c>
    </row>
    <row r="8" spans="1:13" x14ac:dyDescent="0.25">
      <c r="A8" t="s">
        <v>266</v>
      </c>
      <c r="B8" t="str">
        <f>IF(MID(Shelly12[[#This Row],[Code]],1,1)="P", "4PM", "D2PM")</f>
        <v>D2PM</v>
      </c>
      <c r="C8" t="str" cm="1">
        <f t="array" ref="C8">_xlfn.LET(
   _xlpm.group, Shelly12[[#This Row],[Code]],
   _xlpm.matches, _xlfn._xlws.FILTER(LightSpec[CS1], LEFT(LightSpec[From], LEN(_xlpm.group)) = _xlpm.group),
   IFERROR(
     INDEX(_xlpm.matches, MATCH(TRUE, _xlpm.matches&lt;&gt;"", 0)),
     ""
   )
)</f>
        <v>D1S1-GEH-S1 (Switch S1)</v>
      </c>
      <c r="D8" t="str" cm="1">
        <f t="array" ref="D8">_xlfn.LET(
   _xlpm.group, Shelly12[[#This Row],[Code]],
   _xlpm.matches, _xlfn._xlws.FILTER(LightSpec[CS2], LEFT(LightSpec[From], LEN(_xlpm.group)) = _xlpm.group),
   IFERROR(
     INDEX(_xlpm.matches, MATCH(TRUE, _xlpm.matches&lt;&gt;"", 0)),
     ""
   )
)</f>
        <v>D1S1-GEH-S1 (Switch S1)</v>
      </c>
      <c r="E8" t="str" cm="1">
        <f t="array" ref="E8">_xlfn.LET(
   _xlpm.group, Shelly12[[#This Row],[Code]],
   _xlpm.matches, _xlfn._xlws.FILTER(LightSpec[CS3], LEFT(LightSpec[From], LEN(_xlpm.group)) = _xlpm.group),
   IFERROR(
     INDEX(_xlpm.matches, MATCH(TRUE, _xlpm.matches&lt;&gt;"", 0)),
     ""
   )
)</f>
        <v>D1S1-GEH-S1 (Switch S1)</v>
      </c>
      <c r="F8" t="str" cm="1">
        <f t="array" ref="F8">_xlfn.LET(
   _xlpm.group, Shelly12[[#This Row],[Code]],
   _xlpm.matches, _xlfn._xlws.FILTER(LightSpec[CS4], LEFT(LightSpec[From], LEN(_xlpm.group)) = _xlpm.group),
   IFERROR(
     INDEX(_xlpm.matches, MATCH(TRUE, _xlpm.matches&lt;&gt;"", 0)),
     ""
   )
)</f>
        <v>D1S1-GEH-S1 (Switch S1)</v>
      </c>
      <c r="G8" t="str">
        <f>_xlfn.XLOOKUP(Shelly12[[#This Row],[Code]]&amp; "O1", LightSpec[From],LightSpec[Code], "EMPTY")</f>
        <v>D1O1-GEH-C1</v>
      </c>
      <c r="H8" t="str">
        <f>_xlfn.XLOOKUP(Shelly12[[#This Row],[Code]]&amp; "O2", LightSpec[From],LightSpec[Code], "EMPTY")</f>
        <v>D1O2-GEH-C2</v>
      </c>
      <c r="I8" t="str">
        <f>IF(LEFT(Shelly12[[#This Row],[Code]])="D", "NA", _xlfn.XLOOKUP(Shelly12[[#This Row],[Code]]&amp; "O3", LightSpec[From],LightSpec[Code], "EMPTY"))</f>
        <v>NA</v>
      </c>
      <c r="J8" t="str">
        <f>IF(LEFT(Shelly12[[#This Row],[Code]])="D", "NA", _xlfn.XLOOKUP(Shelly12[[#This Row],[Code]]&amp; "O4", LightSpec[From],LightSpec[Code], "EMPTY"))</f>
        <v>NA</v>
      </c>
    </row>
    <row r="9" spans="1:13" x14ac:dyDescent="0.25">
      <c r="A9" t="s">
        <v>309</v>
      </c>
      <c r="B9" t="str">
        <f>IF(MID(Shelly12[[#This Row],[Code]],1,1)="P", "4PM", "D2PM")</f>
        <v>D2PM</v>
      </c>
      <c r="C9" t="str" cm="1">
        <f t="array" ref="C9">_xlfn.LET(
   _xlpm.group, Shelly12[[#This Row],[Code]],
   _xlpm.matches, _xlfn._xlws.FILTER(LightSpec[CS1], LEFT(LightSpec[From], LEN(_xlpm.group)) = _xlpm.group),
   IFERROR(
     INDEX(_xlpm.matches, MATCH(TRUE, _xlpm.matches&lt;&gt;"", 0)),
     ""
   )
)</f>
        <v>D2S1-GEH-S2 (Switch S2)</v>
      </c>
      <c r="D9" t="str" cm="1">
        <f t="array" ref="D9">_xlfn.LET(
   _xlpm.group, Shelly12[[#This Row],[Code]],
   _xlpm.matches, _xlfn._xlws.FILTER(LightSpec[CS2], LEFT(LightSpec[From], LEN(_xlpm.group)) = _xlpm.group),
   IFERROR(
     INDEX(_xlpm.matches, MATCH(TRUE, _xlpm.matches&lt;&gt;"", 0)),
     ""
   )
)</f>
        <v>D2S1-GEH-S2 (Switch S2)</v>
      </c>
      <c r="E9" t="str" cm="1">
        <f t="array" ref="E9">_xlfn.LET(
   _xlpm.group, Shelly12[[#This Row],[Code]],
   _xlpm.matches, _xlfn._xlws.FILTER(LightSpec[CS3], LEFT(LightSpec[From], LEN(_xlpm.group)) = _xlpm.group),
   IFERROR(
     INDEX(_xlpm.matches, MATCH(TRUE, _xlpm.matches&lt;&gt;"", 0)),
     ""
   )
)</f>
        <v>D2S3-FEL-S3 (Switch S3)</v>
      </c>
      <c r="F9" t="str" cm="1">
        <f t="array" ref="F9">_xlfn.LET(
   _xlpm.group, Shelly12[[#This Row],[Code]],
   _xlpm.matches, _xlfn._xlws.FILTER(LightSpec[CS4], LEFT(LightSpec[From], LEN(_xlpm.group)) = _xlpm.group),
   IFERROR(
     INDEX(_xlpm.matches, MATCH(TRUE, _xlpm.matches&lt;&gt;"", 0)),
     ""
   )
)</f>
        <v>D2S3-FEL-S3 (Switch S3)</v>
      </c>
      <c r="G9" t="str">
        <f>_xlfn.XLOOKUP(Shelly12[[#This Row],[Code]]&amp; "O1", LightSpec[From],LightSpec[Code], "EMPTY")</f>
        <v>D2O1-GEH-C3</v>
      </c>
      <c r="H9" t="str">
        <f>_xlfn.XLOOKUP(Shelly12[[#This Row],[Code]]&amp; "O2", LightSpec[From],LightSpec[Code], "EMPTY")</f>
        <v>D2O2-GEH-C4</v>
      </c>
      <c r="I9" t="str">
        <f>IF(LEFT(Shelly12[[#This Row],[Code]])="D", "NA", _xlfn.XLOOKUP(Shelly12[[#This Row],[Code]]&amp; "O3", LightSpec[From],LightSpec[Code], "EMPTY"))</f>
        <v>NA</v>
      </c>
      <c r="J9" t="str">
        <f>IF(LEFT(Shelly12[[#This Row],[Code]])="D", "NA", _xlfn.XLOOKUP(Shelly12[[#This Row],[Code]]&amp; "O4", LightSpec[From],LightSpec[Code], "EMPTY"))</f>
        <v>NA</v>
      </c>
    </row>
    <row r="10" spans="1:13" x14ac:dyDescent="0.25">
      <c r="A10" t="s">
        <v>310</v>
      </c>
      <c r="B10" t="str">
        <f>IF(MID(Shelly12[[#This Row],[Code]],1,1)="P", "4PM", "D2PM")</f>
        <v>D2PM</v>
      </c>
      <c r="C10" t="str" cm="1">
        <f t="array" ref="C10">_xlfn.LET(
   _xlpm.group, Shelly12[[#This Row],[Code]],
   _xlpm.matches, _xlfn._xlws.FILTER(LightSpec[CS1], LEFT(LightSpec[From], LEN(_xlpm.group)) = _xlpm.group),
   IFERROR(
     INDEX(_xlpm.matches, MATCH(TRUE, _xlpm.matches&lt;&gt;"", 0)),
     ""
   )
)</f>
        <v>D3S1-FEL-S4 (Switch S4)</v>
      </c>
      <c r="D10" t="str" cm="1">
        <f t="array" ref="D10">_xlfn.LET(
   _xlpm.group, Shelly12[[#This Row],[Code]],
   _xlpm.matches, _xlfn._xlws.FILTER(LightSpec[CS2], LEFT(LightSpec[From], LEN(_xlpm.group)) = _xlpm.group),
   IFERROR(
     INDEX(_xlpm.matches, MATCH(TRUE, _xlpm.matches&lt;&gt;"", 0)),
     ""
   )
)</f>
        <v>D3S1-FEL-S4 (Switch S4)</v>
      </c>
      <c r="E10" t="str" cm="1">
        <f t="array" ref="E10">_xlfn.LET(
   _xlpm.group, Shelly12[[#This Row],[Code]],
   _xlpm.matches, _xlfn._xlws.FILTER(LightSpec[CS3], LEFT(LightSpec[From], LEN(_xlpm.group)) = _xlpm.group),
   IFERROR(
     INDEX(_xlpm.matches, MATCH(TRUE, _xlpm.matches&lt;&gt;"", 0)),
     ""
   )
)</f>
        <v>D3S1-FEL-S4 (Switch S4)</v>
      </c>
      <c r="F10" t="str" cm="1">
        <f t="array" ref="F10">_xlfn.LET(
   _xlpm.group, Shelly12[[#This Row],[Code]],
   _xlpm.matches, _xlfn._xlws.FILTER(LightSpec[CS4], LEFT(LightSpec[From], LEN(_xlpm.group)) = _xlpm.group),
   IFERROR(
     INDEX(_xlpm.matches, MATCH(TRUE, _xlpm.matches&lt;&gt;"", 0)),
     ""
   )
)</f>
        <v>D3S1-FEL-S4 (Switch S4)</v>
      </c>
      <c r="G10" t="str">
        <f>_xlfn.XLOOKUP(Shelly12[[#This Row],[Code]]&amp; "O1", LightSpec[From],LightSpec[Code], "EMPTY")</f>
        <v>D3O1-FEL-C5</v>
      </c>
      <c r="H10" t="str">
        <f>_xlfn.XLOOKUP(Shelly12[[#This Row],[Code]]&amp; "O2", LightSpec[From],LightSpec[Code], "EMPTY")</f>
        <v>D3O2-FEL-C6</v>
      </c>
      <c r="I10" t="str">
        <f>IF(LEFT(Shelly12[[#This Row],[Code]])="D", "NA", _xlfn.XLOOKUP(Shelly12[[#This Row],[Code]]&amp; "O3", LightSpec[From],LightSpec[Code], "EMPTY"))</f>
        <v>NA</v>
      </c>
      <c r="J10" t="str">
        <f>IF(LEFT(Shelly12[[#This Row],[Code]])="D", "NA", _xlfn.XLOOKUP(Shelly12[[#This Row],[Code]]&amp; "O4", LightSpec[From],LightSpec[Code], "EMPTY"))</f>
        <v>NA</v>
      </c>
    </row>
    <row r="11" spans="1:13" x14ac:dyDescent="0.25">
      <c r="A11" t="s">
        <v>458</v>
      </c>
      <c r="B11" t="str">
        <f>IF(MID(Shelly12[[#This Row],[Code]],1,1)="P", "4PM", "D2PM")</f>
        <v>D2PM</v>
      </c>
      <c r="C11" t="str" cm="1">
        <f t="array" ref="C11">_xlfn.LET(
   _xlpm.group, Shelly12[[#This Row],[Code]],
   _xlpm.matches, _xlfn._xlws.FILTER(LightSpec[CS1], LEFT(LightSpec[From], LEN(_xlpm.group)) = _xlpm.group),
   IFERROR(
     INDEX(_xlpm.matches, MATCH(TRUE, _xlpm.matches&lt;&gt;"", 0)),
     ""
   )
)</f>
        <v>D4S1-GSD-S1 (Switch S1)</v>
      </c>
      <c r="D11" t="str" cm="1">
        <f t="array" ref="D11">_xlfn.LET(
   _xlpm.group, Shelly12[[#This Row],[Code]],
   _xlpm.matches, _xlfn._xlws.FILTER(LightSpec[CS2], LEFT(LightSpec[From], LEN(_xlpm.group)) = _xlpm.group),
   IFERROR(
     INDEX(_xlpm.matches, MATCH(TRUE, _xlpm.matches&lt;&gt;"", 0)),
     ""
   )
)</f>
        <v>D4S1-GSD-S1 (Switch S1)</v>
      </c>
      <c r="E11" t="str" cm="1">
        <f t="array" ref="E11">_xlfn.LET(
   _xlpm.group, Shelly12[[#This Row],[Code]],
   _xlpm.matches, _xlfn._xlws.FILTER(LightSpec[CS3], LEFT(LightSpec[From], LEN(_xlpm.group)) = _xlpm.group),
   IFERROR(
     INDEX(_xlpm.matches, MATCH(TRUE, _xlpm.matches&lt;&gt;"", 0)),
     ""
   )
)</f>
        <v/>
      </c>
      <c r="F11" t="str" cm="1">
        <f t="array" ref="F11">_xlfn.LET(
   _xlpm.group, Shelly12[[#This Row],[Code]],
   _xlpm.matches, _xlfn._xlws.FILTER(LightSpec[CS4], LEFT(LightSpec[From], LEN(_xlpm.group)) = _xlpm.group),
   IFERROR(
     INDEX(_xlpm.matches, MATCH(TRUE, _xlpm.matches&lt;&gt;"", 0)),
     ""
   )
)</f>
        <v/>
      </c>
      <c r="G11" t="str">
        <f>_xlfn.XLOOKUP(Shelly12[[#This Row],[Code]]&amp; "O1", LightSpec[From],LightSpec[Code], "EMPTY")</f>
        <v>D4O1-GSD-C1</v>
      </c>
      <c r="H11" t="str">
        <f>_xlfn.XLOOKUP(Shelly12[[#This Row],[Code]]&amp; "O2", LightSpec[From],LightSpec[Code], "EMPTY")</f>
        <v>D4O2-GSD-C2</v>
      </c>
      <c r="I11" t="str">
        <f>IF(LEFT(Shelly12[[#This Row],[Code]])="D", "NA", _xlfn.XLOOKUP(Shelly12[[#This Row],[Code]]&amp; "O3", LightSpec[From],LightSpec[Code], "EMPTY"))</f>
        <v>NA</v>
      </c>
      <c r="J11" t="str">
        <f>IF(LEFT(Shelly12[[#This Row],[Code]])="D", "NA", _xlfn.XLOOKUP(Shelly12[[#This Row],[Code]]&amp; "O4", LightSpec[From],LightSpec[Code], "EMPTY"))</f>
        <v>NA</v>
      </c>
    </row>
    <row r="12" spans="1:13" x14ac:dyDescent="0.25">
      <c r="A12" t="s">
        <v>459</v>
      </c>
      <c r="B12" t="str">
        <f>IF(MID(Shelly12[[#This Row],[Code]],1,1)="P", "4PM", "D2PM")</f>
        <v>D2PM</v>
      </c>
      <c r="C12" t="str" cm="1">
        <f t="array" ref="C12">_xlfn.LET(
   _xlpm.group, Shelly12[[#This Row],[Code]],
   _xlpm.matches, _xlfn._xlws.FILTER(LightSpec[CS1], LEFT(LightSpec[From], LEN(_xlpm.group)) = _xlpm.group),
   IFERROR(
     INDEX(_xlpm.matches, MATCH(TRUE, _xlpm.matches&lt;&gt;"", 0)),
     ""
   )
)</f>
        <v>D5S1-GLG-S1 (Switch S1)</v>
      </c>
      <c r="D12" t="str" cm="1">
        <f t="array" ref="D12">_xlfn.LET(
   _xlpm.group, Shelly12[[#This Row],[Code]],
   _xlpm.matches, _xlfn._xlws.FILTER(LightSpec[CS2], LEFT(LightSpec[From], LEN(_xlpm.group)) = _xlpm.group),
   IFERROR(
     INDEX(_xlpm.matches, MATCH(TRUE, _xlpm.matches&lt;&gt;"", 0)),
     ""
   )
)</f>
        <v>D5S1-GLG-S1 (Switch S1)</v>
      </c>
      <c r="E12" t="str" cm="1">
        <f t="array" ref="E12">_xlfn.LET(
   _xlpm.group, Shelly12[[#This Row],[Code]],
   _xlpm.matches, _xlfn._xlws.FILTER(LightSpec[CS3], LEFT(LightSpec[From], LEN(_xlpm.group)) = _xlpm.group),
   IFERROR(
     INDEX(_xlpm.matches, MATCH(TRUE, _xlpm.matches&lt;&gt;"", 0)),
     ""
   )
)</f>
        <v>D5S1-GLG-S1 (Switch S1)</v>
      </c>
      <c r="F12" t="str" cm="1">
        <f t="array" ref="F12">_xlfn.LET(
   _xlpm.group, Shelly12[[#This Row],[Code]],
   _xlpm.matches, _xlfn._xlws.FILTER(LightSpec[CS4], LEFT(LightSpec[From], LEN(_xlpm.group)) = _xlpm.group),
   IFERROR(
     INDEX(_xlpm.matches, MATCH(TRUE, _xlpm.matches&lt;&gt;"", 0)),
     ""
   )
)</f>
        <v>D5S1-GLG-S1 (Switch S1)</v>
      </c>
      <c r="G12" t="str">
        <f>_xlfn.XLOOKUP(Shelly12[[#This Row],[Code]]&amp; "O1", LightSpec[From],LightSpec[Code], "EMPTY")</f>
        <v>D5O1-GLG-C1</v>
      </c>
      <c r="H12" t="str">
        <f>_xlfn.XLOOKUP(Shelly12[[#This Row],[Code]]&amp; "O2", LightSpec[From],LightSpec[Code], "EMPTY")</f>
        <v>D5O2-GLG-C2</v>
      </c>
      <c r="I12" t="str">
        <f>IF(LEFT(Shelly12[[#This Row],[Code]])="D", "NA", _xlfn.XLOOKUP(Shelly12[[#This Row],[Code]]&amp; "O3", LightSpec[From],LightSpec[Code], "EMPTY"))</f>
        <v>NA</v>
      </c>
      <c r="J12" t="str">
        <f>IF(LEFT(Shelly12[[#This Row],[Code]])="D", "NA", _xlfn.XLOOKUP(Shelly12[[#This Row],[Code]]&amp; "O4", LightSpec[From],LightSpec[Code], "EMPTY"))</f>
        <v>NA</v>
      </c>
    </row>
    <row r="13" spans="1:13" x14ac:dyDescent="0.25">
      <c r="A13" t="s">
        <v>460</v>
      </c>
      <c r="B13" t="str">
        <f>IF(MID(Shelly12[[#This Row],[Code]],1,1)="P", "4PM", "D2PM")</f>
        <v>D2PM</v>
      </c>
      <c r="C13" s="1" t="str" cm="1">
        <f t="array" ref="C13">_xlfn.LET(
   _xlpm.group, Shelly12[[#This Row],[Code]],
   _xlpm.matches, _xlfn._xlws.FILTER(LightSpec[CS1], LEFT(LightSpec[From], LEN(_xlpm.group)) = _xlpm.group),
   IFERROR(
     INDEX(_xlpm.matches, MATCH(TRUE, _xlpm.matches&lt;&gt;"", 0)),
     ""
   )
)</f>
        <v>D6S1-GKD-S3 (Switch S3)</v>
      </c>
      <c r="D13" s="1" t="str" cm="1">
        <f t="array" ref="D13">_xlfn.LET(
   _xlpm.group, Shelly12[[#This Row],[Code]],
   _xlpm.matches, _xlfn._xlws.FILTER(LightSpec[CS2], LEFT(LightSpec[From], LEN(_xlpm.group)) = _xlpm.group),
   IFERROR(
     INDEX(_xlpm.matches, MATCH(TRUE, _xlpm.matches&lt;&gt;"", 0)),
     ""
   )
)</f>
        <v>D6S1-GKD-S3 (Switch S3)</v>
      </c>
      <c r="E13" s="1" t="str" cm="1">
        <f t="array" ref="E13">_xlfn.LET(
   _xlpm.group, Shelly12[[#This Row],[Code]],
   _xlpm.matches, _xlfn._xlws.FILTER(LightSpec[CS3], LEFT(LightSpec[From], LEN(_xlpm.group)) = _xlpm.group),
   IFERROR(
     INDEX(_xlpm.matches, MATCH(TRUE, _xlpm.matches&lt;&gt;"", 0)),
     ""
   )
)</f>
        <v>D6S1-GKD-S3 (Switch S3)</v>
      </c>
      <c r="F13" s="1" t="str" cm="1">
        <f t="array" ref="F13">_xlfn.LET(
   _xlpm.group, Shelly12[[#This Row],[Code]],
   _xlpm.matches, _xlfn._xlws.FILTER(LightSpec[CS4], LEFT(LightSpec[From], LEN(_xlpm.group)) = _xlpm.group),
   IFERROR(
     INDEX(_xlpm.matches, MATCH(TRUE, _xlpm.matches&lt;&gt;"", 0)),
     ""
   )
)</f>
        <v>D6S1-GKD-S3 (Switch S3)</v>
      </c>
      <c r="G13" t="str">
        <f>_xlfn.XLOOKUP(Shelly12[[#This Row],[Code]]&amp; "O1", LightSpec[From],LightSpec[Code], "EMPTY")</f>
        <v>D6O1-GLG-C3</v>
      </c>
      <c r="H13" t="str">
        <f>_xlfn.XLOOKUP(Shelly12[[#This Row],[Code]]&amp; "O2", LightSpec[From],LightSpec[Code], "EMPTY")</f>
        <v>D6O2-GLG-C4</v>
      </c>
      <c r="I13" t="str">
        <f>IF(LEFT(Shelly12[[#This Row],[Code]])="D", "NA", _xlfn.XLOOKUP(Shelly12[[#This Row],[Code]]&amp; "O3", LightSpec[From],LightSpec[Code], "EMPTY"))</f>
        <v>NA</v>
      </c>
      <c r="J13" t="str">
        <f>IF(LEFT(Shelly12[[#This Row],[Code]])="D", "NA", _xlfn.XLOOKUP(Shelly12[[#This Row],[Code]]&amp; "O4", LightSpec[From],LightSpec[Code], "EMPTY"))</f>
        <v>NA</v>
      </c>
    </row>
    <row r="14" spans="1:13" x14ac:dyDescent="0.25">
      <c r="A14" t="s">
        <v>461</v>
      </c>
      <c r="B14" t="str">
        <f>IF(MID(Shelly12[[#This Row],[Code]],1,1)="P", "4PM", "D2PM")</f>
        <v>D2PM</v>
      </c>
      <c r="C14" t="str" cm="1">
        <f t="array" ref="C14">_xlfn.LET(
   _xlpm.group, Shelly12[[#This Row],[Code]],
   _xlpm.matches, _xlfn._xlws.FILTER(LightSpec[CS1], LEFT(LightSpec[From], LEN(_xlpm.group)) = _xlpm.group),
   IFERROR(
     INDEX(_xlpm.matches, MATCH(TRUE, _xlpm.matches&lt;&gt;"", 0)),
     ""
   )
)</f>
        <v>D7S1-GKD-S1 (Switch S1)</v>
      </c>
      <c r="D14" t="str" cm="1">
        <f t="array" ref="D14">_xlfn.LET(
   _xlpm.group, Shelly12[[#This Row],[Code]],
   _xlpm.matches, _xlfn._xlws.FILTER(LightSpec[CS2], LEFT(LightSpec[From], LEN(_xlpm.group)) = _xlpm.group),
   IFERROR(
     INDEX(_xlpm.matches, MATCH(TRUE, _xlpm.matches&lt;&gt;"", 0)),
     ""
   )
)</f>
        <v>D7S1-GKD-S1 (Switch S1)</v>
      </c>
      <c r="E14" t="str" cm="1">
        <f t="array" ref="E14">_xlfn.LET(
   _xlpm.group, Shelly12[[#This Row],[Code]],
   _xlpm.matches, _xlfn._xlws.FILTER(LightSpec[CS3], LEFT(LightSpec[From], LEN(_xlpm.group)) = _xlpm.group),
   IFERROR(
     INDEX(_xlpm.matches, MATCH(TRUE, _xlpm.matches&lt;&gt;"", 0)),
     ""
   )
)</f>
        <v>D7S1-GKD-S1 (Switch S1)</v>
      </c>
      <c r="F14" t="str" cm="1">
        <f t="array" ref="F14">_xlfn.LET(
   _xlpm.group, Shelly12[[#This Row],[Code]],
   _xlpm.matches, _xlfn._xlws.FILTER(LightSpec[CS4], LEFT(LightSpec[From], LEN(_xlpm.group)) = _xlpm.group),
   IFERROR(
     INDEX(_xlpm.matches, MATCH(TRUE, _xlpm.matches&lt;&gt;"", 0)),
     ""
   )
)</f>
        <v>D7S1-GKD-S1 (Switch S1)</v>
      </c>
      <c r="G14" t="str">
        <f>_xlfn.XLOOKUP(Shelly12[[#This Row],[Code]]&amp; "O1", LightSpec[From],LightSpec[Code], "EMPTY")</f>
        <v>D7O1-GKD-C1</v>
      </c>
      <c r="H14" t="str">
        <f>_xlfn.XLOOKUP(Shelly12[[#This Row],[Code]]&amp; "O2", LightSpec[From],LightSpec[Code], "EMPTY")</f>
        <v>D7O2-GKD-C2</v>
      </c>
      <c r="I14" t="str">
        <f>IF(LEFT(Shelly12[[#This Row],[Code]])="D", "NA", _xlfn.XLOOKUP(Shelly12[[#This Row],[Code]]&amp; "O3", LightSpec[From],LightSpec[Code], "EMPTY"))</f>
        <v>NA</v>
      </c>
      <c r="J14" t="str">
        <f>IF(LEFT(Shelly12[[#This Row],[Code]])="D", "NA", _xlfn.XLOOKUP(Shelly12[[#This Row],[Code]]&amp; "O4", LightSpec[From],LightSpec[Code], "EMPTY"))</f>
        <v>NA</v>
      </c>
    </row>
    <row r="15" spans="1:13" x14ac:dyDescent="0.25">
      <c r="A15" t="s">
        <v>462</v>
      </c>
      <c r="B15" t="str">
        <f>IF(MID(Shelly12[[#This Row],[Code]],1,1)="P", "4PM", "D2PM")</f>
        <v>D2PM</v>
      </c>
      <c r="C15" t="str" cm="1">
        <f t="array" ref="C15">_xlfn.LET(
   _xlpm.group, Shelly12[[#This Row],[Code]],
   _xlpm.matches, _xlfn._xlws.FILTER(LightSpec[CS1], LEFT(LightSpec[From], LEN(_xlpm.group)) = _xlpm.group),
   IFERROR(
     INDEX(_xlpm.matches, MATCH(TRUE, _xlpm.matches&lt;&gt;"", 0)),
     ""
   )
)</f>
        <v>D8S1-GKD-S2 (Switch S2)</v>
      </c>
      <c r="D15" t="str" cm="1">
        <f t="array" ref="D15">_xlfn.LET(
   _xlpm.group, Shelly12[[#This Row],[Code]],
   _xlpm.matches, _xlfn._xlws.FILTER(LightSpec[CS2], LEFT(LightSpec[From], LEN(_xlpm.group)) = _xlpm.group),
   IFERROR(
     INDEX(_xlpm.matches, MATCH(TRUE, _xlpm.matches&lt;&gt;"", 0)),
     ""
   )
)</f>
        <v>D8S1-GKD-S2 (Switch S2)</v>
      </c>
      <c r="E15" t="str" cm="1">
        <f t="array" ref="E15">_xlfn.LET(
   _xlpm.group, Shelly12[[#This Row],[Code]],
   _xlpm.matches, _xlfn._xlws.FILTER(LightSpec[CS3], LEFT(LightSpec[From], LEN(_xlpm.group)) = _xlpm.group),
   IFERROR(
     INDEX(_xlpm.matches, MATCH(TRUE, _xlpm.matches&lt;&gt;"", 0)),
     ""
   )
)</f>
        <v>D8S1-GKD-S2 (Switch S2)</v>
      </c>
      <c r="F15" t="str" cm="1">
        <f t="array" ref="F15">_xlfn.LET(
   _xlpm.group, Shelly12[[#This Row],[Code]],
   _xlpm.matches, _xlfn._xlws.FILTER(LightSpec[CS4], LEFT(LightSpec[From], LEN(_xlpm.group)) = _xlpm.group),
   IFERROR(
     INDEX(_xlpm.matches, MATCH(TRUE, _xlpm.matches&lt;&gt;"", 0)),
     ""
   )
)</f>
        <v>D8S1-GKD-S2 (Switch S2)</v>
      </c>
      <c r="G15" t="str">
        <f>_xlfn.XLOOKUP(Shelly12[[#This Row],[Code]]&amp; "O1", LightSpec[From],LightSpec[Code], "EMPTY")</f>
        <v>D8O1-GKD-C3</v>
      </c>
      <c r="H15" t="str">
        <f>_xlfn.XLOOKUP(Shelly12[[#This Row],[Code]]&amp; "O2", LightSpec[From],LightSpec[Code], "EMPTY")</f>
        <v>D8O2-GKD-C4</v>
      </c>
      <c r="I15" t="str">
        <f>IF(LEFT(Shelly12[[#This Row],[Code]])="D", "NA", _xlfn.XLOOKUP(Shelly12[[#This Row],[Code]]&amp; "O3", LightSpec[From],LightSpec[Code], "EMPTY"))</f>
        <v>NA</v>
      </c>
      <c r="J15" t="str">
        <f>IF(LEFT(Shelly12[[#This Row],[Code]])="D", "NA", _xlfn.XLOOKUP(Shelly12[[#This Row],[Code]]&amp; "O4", LightSpec[From],LightSpec[Code], "EMPTY"))</f>
        <v>NA</v>
      </c>
    </row>
    <row r="16" spans="1:13" x14ac:dyDescent="0.25">
      <c r="A16" t="s">
        <v>463</v>
      </c>
      <c r="B16" t="str">
        <f>IF(MID(Shelly12[[#This Row],[Code]],1,1)="P", "4PM", "D2PM")</f>
        <v>D2PM</v>
      </c>
      <c r="C16" t="str" cm="1">
        <f t="array" ref="C16">_xlfn.LET(
   _xlpm.group, Shelly12[[#This Row],[Code]],
   _xlpm.matches, _xlfn._xlws.FILTER(LightSpec[CS1], LEFT(LightSpec[From], LEN(_xlpm.group)) = _xlpm.group),
   IFERROR(
     INDEX(_xlpm.matches, MATCH(TRUE, _xlpm.matches&lt;&gt;"", 0)),
     ""
   )
)</f>
        <v/>
      </c>
      <c r="D16" t="str" cm="1">
        <f t="array" ref="D16">_xlfn.LET(
   _xlpm.group, Shelly12[[#This Row],[Code]],
   _xlpm.matches, _xlfn._xlws.FILTER(LightSpec[CS2], LEFT(LightSpec[From], LEN(_xlpm.group)) = _xlpm.group),
   IFERROR(
     INDEX(_xlpm.matches, MATCH(TRUE, _xlpm.matches&lt;&gt;"", 0)),
     ""
   )
)</f>
        <v/>
      </c>
      <c r="E16" t="str" cm="1">
        <f t="array" ref="E16">_xlfn.LET(
   _xlpm.group, Shelly12[[#This Row],[Code]],
   _xlpm.matches, _xlfn._xlws.FILTER(LightSpec[CS3], LEFT(LightSpec[From], LEN(_xlpm.group)) = _xlpm.group),
   IFERROR(
     INDEX(_xlpm.matches, MATCH(TRUE, _xlpm.matches&lt;&gt;"", 0)),
     ""
   )
)</f>
        <v/>
      </c>
      <c r="F16" t="str" cm="1">
        <f t="array" ref="F16">_xlfn.LET(
   _xlpm.group, Shelly12[[#This Row],[Code]],
   _xlpm.matches, _xlfn._xlws.FILTER(LightSpec[CS4], LEFT(LightSpec[From], LEN(_xlpm.group)) = _xlpm.group),
   IFERROR(
     INDEX(_xlpm.matches, MATCH(TRUE, _xlpm.matches&lt;&gt;"", 0)),
     ""
   )
)</f>
        <v/>
      </c>
      <c r="G16" t="str">
        <f>_xlfn.XLOOKUP(Shelly12[[#This Row],[Code]]&amp; "O1", LightSpec[From],LightSpec[Code], "EMPTY")</f>
        <v>D9O1-GKD-C6</v>
      </c>
      <c r="H16" t="str">
        <f>_xlfn.XLOOKUP(Shelly12[[#This Row],[Code]]&amp; "O2", LightSpec[From],LightSpec[Code], "EMPTY")</f>
        <v>D9O2-GKD-C8</v>
      </c>
      <c r="I16" t="str">
        <f>IF(LEFT(Shelly12[[#This Row],[Code]])="D", "NA", _xlfn.XLOOKUP(Shelly12[[#This Row],[Code]]&amp; "O3", LightSpec[From],LightSpec[Code], "EMPTY"))</f>
        <v>NA</v>
      </c>
      <c r="J16" t="str">
        <f>IF(LEFT(Shelly12[[#This Row],[Code]])="D", "NA", _xlfn.XLOOKUP(Shelly12[[#This Row],[Code]]&amp; "O4", LightSpec[From],LightSpec[Code], "EMPTY"))</f>
        <v>NA</v>
      </c>
    </row>
    <row r="17" spans="1:10" x14ac:dyDescent="0.25">
      <c r="A17" t="s">
        <v>464</v>
      </c>
      <c r="B17" t="str">
        <f>IF(MID(Shelly12[[#This Row],[Code]],1,1)="P", "4PM", "D2PM")</f>
        <v>D2PM</v>
      </c>
      <c r="C17" t="str" cm="1">
        <f t="array" ref="C17">_xlfn.LET(
   _xlpm.group, Shelly12[[#This Row],[Code]],
   _xlpm.matches, _xlfn._xlws.FILTER(LightSpec[CS1], LEFT(LightSpec[From], LEN(_xlpm.group)) = _xlpm.group),
   IFERROR(
     INDEX(_xlpm.matches, MATCH(TRUE, _xlpm.matches&lt;&gt;"", 0)),
     ""
   )
)</f>
        <v/>
      </c>
      <c r="D17" t="str" cm="1">
        <f t="array" ref="D17">_xlfn.LET(
   _xlpm.group, Shelly12[[#This Row],[Code]],
   _xlpm.matches, _xlfn._xlws.FILTER(LightSpec[CS2], LEFT(LightSpec[From], LEN(_xlpm.group)) = _xlpm.group),
   IFERROR(
     INDEX(_xlpm.matches, MATCH(TRUE, _xlpm.matches&lt;&gt;"", 0)),
     ""
   )
)</f>
        <v/>
      </c>
      <c r="E17" t="str" cm="1">
        <f t="array" ref="E17">_xlfn.LET(
   _xlpm.group, Shelly12[[#This Row],[Code]],
   _xlpm.matches, _xlfn._xlws.FILTER(LightSpec[CS3], LEFT(LightSpec[From], LEN(_xlpm.group)) = _xlpm.group),
   IFERROR(
     INDEX(_xlpm.matches, MATCH(TRUE, _xlpm.matches&lt;&gt;"", 0)),
     ""
   )
)</f>
        <v/>
      </c>
      <c r="F17" t="str" cm="1">
        <f t="array" ref="F17">_xlfn.LET(
   _xlpm.group, Shelly12[[#This Row],[Code]],
   _xlpm.matches, _xlfn._xlws.FILTER(LightSpec[CS4], LEFT(LightSpec[From], LEN(_xlpm.group)) = _xlpm.group),
   IFERROR(
     INDEX(_xlpm.matches, MATCH(TRUE, _xlpm.matches&lt;&gt;"", 0)),
     ""
   )
)</f>
        <v/>
      </c>
      <c r="G17" t="str">
        <f>_xlfn.XLOOKUP(Shelly12[[#This Row],[Code]]&amp; "O1", LightSpec[From],LightSpec[Code], "EMPTY")</f>
        <v>D10O1-GKD-C9</v>
      </c>
      <c r="H17" t="str">
        <f>_xlfn.XLOOKUP(Shelly12[[#This Row],[Code]]&amp; "O2", LightSpec[From],LightSpec[Code], "EMPTY")</f>
        <v>D10O2-GPR-C1</v>
      </c>
      <c r="I17" t="str">
        <f>IF(LEFT(Shelly12[[#This Row],[Code]])="D", "NA", _xlfn.XLOOKUP(Shelly12[[#This Row],[Code]]&amp; "O3", LightSpec[From],LightSpec[Code], "EMPTY"))</f>
        <v>NA</v>
      </c>
      <c r="J17" t="str">
        <f>IF(LEFT(Shelly12[[#This Row],[Code]])="D", "NA", _xlfn.XLOOKUP(Shelly12[[#This Row],[Code]]&amp; "O4", LightSpec[From],LightSpec[Code], "EMPTY"))</f>
        <v>NA</v>
      </c>
    </row>
    <row r="18" spans="1:10" x14ac:dyDescent="0.25">
      <c r="A18" t="s">
        <v>465</v>
      </c>
      <c r="B18" t="str">
        <f>IF(MID(Shelly12[[#This Row],[Code]],1,1)="P", "4PM", "D2PM")</f>
        <v>D2PM</v>
      </c>
      <c r="C18" s="1" t="str" cm="1">
        <f t="array" ref="C18">_xlfn.LET(
   _xlpm.group, Shelly12[[#This Row],[Code]],
   _xlpm.matches, _xlfn._xlws.FILTER(LightSpec[CS1], LEFT(LightSpec[From], LEN(_xlpm.group)) = _xlpm.group),
   IFERROR(
     INDEX(_xlpm.matches, MATCH(TRUE, _xlpm.matches&lt;&gt;"", 0)),
     ""
   )
)</f>
        <v>D11S1-GPR-S1 (Switch S1)</v>
      </c>
      <c r="D18" s="1" t="str" cm="1">
        <f t="array" ref="D18">_xlfn.LET(
   _xlpm.group, Shelly12[[#This Row],[Code]],
   _xlpm.matches, _xlfn._xlws.FILTER(LightSpec[CS2], LEFT(LightSpec[From], LEN(_xlpm.group)) = _xlpm.group),
   IFERROR(
     INDEX(_xlpm.matches, MATCH(TRUE, _xlpm.matches&lt;&gt;"", 0)),
     ""
   )
)</f>
        <v>D11S1-GPR-S1 (Switch S1)</v>
      </c>
      <c r="E18" s="1" t="str" cm="1">
        <f t="array" ref="E18">_xlfn.LET(
   _xlpm.group, Shelly12[[#This Row],[Code]],
   _xlpm.matches, _xlfn._xlws.FILTER(LightSpec[CS3], LEFT(LightSpec[From], LEN(_xlpm.group)) = _xlpm.group),
   IFERROR(
     INDEX(_xlpm.matches, MATCH(TRUE, _xlpm.matches&lt;&gt;"", 0)),
     ""
   )
)</f>
        <v>D11S1-GPR-S1 (Switch S1)</v>
      </c>
      <c r="F18" s="1" t="str" cm="1">
        <f t="array" ref="F18">_xlfn.LET(
   _xlpm.group, Shelly12[[#This Row],[Code]],
   _xlpm.matches, _xlfn._xlws.FILTER(LightSpec[CS4], LEFT(LightSpec[From], LEN(_xlpm.group)) = _xlpm.group),
   IFERROR(
     INDEX(_xlpm.matches, MATCH(TRUE, _xlpm.matches&lt;&gt;"", 0)),
     ""
   )
)</f>
        <v>D11S1-GPR-S1 (Switch S1)</v>
      </c>
      <c r="G18" t="str">
        <f>_xlfn.XLOOKUP(Shelly12[[#This Row],[Code]]&amp; "O1", LightSpec[From],LightSpec[Code], "EMPTY")</f>
        <v>D11O1-GPR-C2</v>
      </c>
      <c r="H18" t="str">
        <f>_xlfn.XLOOKUP(Shelly12[[#This Row],[Code]]&amp; "O2", LightSpec[From],LightSpec[Code], "EMPTY")</f>
        <v>D11O2-GLR-C1</v>
      </c>
      <c r="I18" t="str">
        <f>IF(LEFT(Shelly12[[#This Row],[Code]])="D", "NA", _xlfn.XLOOKUP(Shelly12[[#This Row],[Code]]&amp; "O3", LightSpec[From],LightSpec[Code], "EMPTY"))</f>
        <v>NA</v>
      </c>
      <c r="J18" t="str">
        <f>IF(LEFT(Shelly12[[#This Row],[Code]])="D", "NA", _xlfn.XLOOKUP(Shelly12[[#This Row],[Code]]&amp; "O4", LightSpec[From],LightSpec[Code], "EMPTY"))</f>
        <v>NA</v>
      </c>
    </row>
    <row r="19" spans="1:10" x14ac:dyDescent="0.25">
      <c r="A19" t="s">
        <v>466</v>
      </c>
      <c r="B19" t="str">
        <f>IF(MID(Shelly12[[#This Row],[Code]],1,1)="P", "4PM", "D2PM")</f>
        <v>D2PM</v>
      </c>
      <c r="C19" t="str" cm="1">
        <f t="array" ref="C19">_xlfn.LET(
   _xlpm.group, Shelly12[[#This Row],[Code]],
   _xlpm.matches, _xlfn._xlws.FILTER(LightSpec[CS1], LEFT(LightSpec[From], LEN(_xlpm.group)) = _xlpm.group),
   IFERROR(
     INDEX(_xlpm.matches, MATCH(TRUE, _xlpm.matches&lt;&gt;"", 0)),
     ""
   )
)</f>
        <v>D12S1-GPT-S1 (Switch S1)</v>
      </c>
      <c r="D19" t="str" cm="1">
        <f t="array" ref="D19">_xlfn.LET(
   _xlpm.group, Shelly12[[#This Row],[Code]],
   _xlpm.matches, _xlfn._xlws.FILTER(LightSpec[CS2], LEFT(LightSpec[From], LEN(_xlpm.group)) = _xlpm.group),
   IFERROR(
     INDEX(_xlpm.matches, MATCH(TRUE, _xlpm.matches&lt;&gt;"", 0)),
     ""
   )
)</f>
        <v>D12S1-GPT-S1 (Switch S1)</v>
      </c>
      <c r="E19" t="str" cm="1">
        <f t="array" ref="E19">_xlfn.LET(
   _xlpm.group, Shelly12[[#This Row],[Code]],
   _xlpm.matches, _xlfn._xlws.FILTER(LightSpec[CS3], LEFT(LightSpec[From], LEN(_xlpm.group)) = _xlpm.group),
   IFERROR(
     INDEX(_xlpm.matches, MATCH(TRUE, _xlpm.matches&lt;&gt;"", 0)),
     ""
   )
)</f>
        <v>D12S1-GPT-S1 (Switch S1)</v>
      </c>
      <c r="F19" t="str" cm="1">
        <f t="array" ref="F19">_xlfn.LET(
   _xlpm.group, Shelly12[[#This Row],[Code]],
   _xlpm.matches, _xlfn._xlws.FILTER(LightSpec[CS4], LEFT(LightSpec[From], LEN(_xlpm.group)) = _xlpm.group),
   IFERROR(
     INDEX(_xlpm.matches, MATCH(TRUE, _xlpm.matches&lt;&gt;"", 0)),
     ""
   )
)</f>
        <v>D12S1-GPT-S1 (Switch S1)</v>
      </c>
      <c r="G19" t="str">
        <f>_xlfn.XLOOKUP(Shelly12[[#This Row],[Code]]&amp; "O1", LightSpec[From],LightSpec[Code], "EMPTY")</f>
        <v>D12O1-GPT-C1</v>
      </c>
      <c r="H19" s="7" t="str">
        <f>_xlfn.XLOOKUP(Shelly12[[#This Row],[Code]]&amp; "O2", LightSpec[From],LightSpec[Code], "EMPTY")</f>
        <v>D12O2-GPT-C2</v>
      </c>
      <c r="I19" t="str">
        <f>IF(LEFT(Shelly12[[#This Row],[Code]])="D", "NA", _xlfn.XLOOKUP(Shelly12[[#This Row],[Code]]&amp; "O3", LightSpec[From],LightSpec[Code], "EMPTY"))</f>
        <v>NA</v>
      </c>
      <c r="J19" t="str">
        <f>IF(LEFT(Shelly12[[#This Row],[Code]])="D", "NA", _xlfn.XLOOKUP(Shelly12[[#This Row],[Code]]&amp; "O4", LightSpec[From],LightSpec[Code], "EMPTY"))</f>
        <v>NA</v>
      </c>
    </row>
    <row r="20" spans="1:10" x14ac:dyDescent="0.25">
      <c r="A20" t="s">
        <v>467</v>
      </c>
      <c r="B20" t="str">
        <f>IF(MID(Shelly12[[#This Row],[Code]],1,1)="P", "4PM", "D2PM")</f>
        <v>D2PM</v>
      </c>
      <c r="C20" t="str" cm="1">
        <f t="array" ref="C20">_xlfn.LET(
   _xlpm.group, Shelly12[[#This Row],[Code]],
   _xlpm.matches, _xlfn._xlws.FILTER(LightSpec[CS1], LEFT(LightSpec[From], LEN(_xlpm.group)) = _xlpm.group),
   IFERROR(
     INDEX(_xlpm.matches, MATCH(TRUE, _xlpm.matches&lt;&gt;"", 0)),
     ""
   )
)</f>
        <v/>
      </c>
      <c r="D20" t="str" cm="1">
        <f t="array" ref="D20">_xlfn.LET(
   _xlpm.group, Shelly12[[#This Row],[Code]],
   _xlpm.matches, _xlfn._xlws.FILTER(LightSpec[CS2], LEFT(LightSpec[From], LEN(_xlpm.group)) = _xlpm.group),
   IFERROR(
     INDEX(_xlpm.matches, MATCH(TRUE, _xlpm.matches&lt;&gt;"", 0)),
     ""
   )
)</f>
        <v/>
      </c>
      <c r="E20" t="str" cm="1">
        <f t="array" ref="E20">_xlfn.LET(
   _xlpm.group, Shelly12[[#This Row],[Code]],
   _xlpm.matches, _xlfn._xlws.FILTER(LightSpec[CS3], LEFT(LightSpec[From], LEN(_xlpm.group)) = _xlpm.group),
   IFERROR(
     INDEX(_xlpm.matches, MATCH(TRUE, _xlpm.matches&lt;&gt;"", 0)),
     ""
   )
)</f>
        <v/>
      </c>
      <c r="F20" t="str" cm="1">
        <f t="array" ref="F20">_xlfn.LET(
   _xlpm.group, Shelly12[[#This Row],[Code]],
   _xlpm.matches, _xlfn._xlws.FILTER(LightSpec[CS4], LEFT(LightSpec[From], LEN(_xlpm.group)) = _xlpm.group),
   IFERROR(
     INDEX(_xlpm.matches, MATCH(TRUE, _xlpm.matches&lt;&gt;"", 0)),
     ""
   )
)</f>
        <v/>
      </c>
      <c r="G20" t="str">
        <f>_xlfn.XLOOKUP(Shelly12[[#This Row],[Code]]&amp; "O1", LightSpec[From],LightSpec[Code], "EMPTY")</f>
        <v>D13O1-GWC-C1</v>
      </c>
      <c r="H20" t="str">
        <f>_xlfn.XLOOKUP(Shelly12[[#This Row],[Code]]&amp; "O2", LightSpec[From],LightSpec[Code], "EMPTY")</f>
        <v>D13O2-GWC-C4</v>
      </c>
      <c r="I20" t="str">
        <f>IF(LEFT(Shelly12[[#This Row],[Code]])="D", "NA", _xlfn.XLOOKUP(Shelly12[[#This Row],[Code]]&amp; "O3", LightSpec[From],LightSpec[Code], "EMPTY"))</f>
        <v>NA</v>
      </c>
      <c r="J20" t="str">
        <f>IF(LEFT(Shelly12[[#This Row],[Code]])="D", "NA", _xlfn.XLOOKUP(Shelly12[[#This Row],[Code]]&amp; "O4", LightSpec[From],LightSpec[Code], "EMPTY"))</f>
        <v>NA</v>
      </c>
    </row>
    <row r="21" spans="1:10" x14ac:dyDescent="0.25">
      <c r="A21" t="s">
        <v>468</v>
      </c>
      <c r="B21" t="str">
        <f>IF(MID(Shelly12[[#This Row],[Code]],1,1)="P", "4PM", "D2PM")</f>
        <v>D2PM</v>
      </c>
      <c r="C21" t="str" cm="1">
        <f t="array" ref="C21">_xlfn.LET(
   _xlpm.group, Shelly12[[#This Row],[Code]],
   _xlpm.matches, _xlfn._xlws.FILTER(LightSpec[CS1], LEFT(LightSpec[From], LEN(_xlpm.group)) = _xlpm.group),
   IFERROR(
     INDEX(_xlpm.matches, MATCH(TRUE, _xlpm.matches&lt;&gt;"", 0)),
     ""
   )
)</f>
        <v>D14S1-GGR-S1 (Switch S1)</v>
      </c>
      <c r="D21" t="str" cm="1">
        <f t="array" ref="D21">_xlfn.LET(
   _xlpm.group, Shelly12[[#This Row],[Code]],
   _xlpm.matches, _xlfn._xlws.FILTER(LightSpec[CS2], LEFT(LightSpec[From], LEN(_xlpm.group)) = _xlpm.group),
   IFERROR(
     INDEX(_xlpm.matches, MATCH(TRUE, _xlpm.matches&lt;&gt;"", 0)),
     ""
   )
)</f>
        <v>D14S1-GGR-S1 (Switch S1)</v>
      </c>
      <c r="E21" t="str" cm="1">
        <f t="array" ref="E21">_xlfn.LET(
   _xlpm.group, Shelly12[[#This Row],[Code]],
   _xlpm.matches, _xlfn._xlws.FILTER(LightSpec[CS3], LEFT(LightSpec[From], LEN(_xlpm.group)) = _xlpm.group),
   IFERROR(
     INDEX(_xlpm.matches, MATCH(TRUE, _xlpm.matches&lt;&gt;"", 0)),
     ""
   )
)</f>
        <v>D14S1-GGR-S1 (Switch S1)</v>
      </c>
      <c r="F21" t="str" cm="1">
        <f t="array" ref="F21">_xlfn.LET(
   _xlpm.group, Shelly12[[#This Row],[Code]],
   _xlpm.matches, _xlfn._xlws.FILTER(LightSpec[CS4], LEFT(LightSpec[From], LEN(_xlpm.group)) = _xlpm.group),
   IFERROR(
     INDEX(_xlpm.matches, MATCH(TRUE, _xlpm.matches&lt;&gt;"", 0)),
     ""
   )
)</f>
        <v>D14S1-GGR-S1 (Switch S1)</v>
      </c>
      <c r="G21" t="str">
        <f>_xlfn.XLOOKUP(Shelly12[[#This Row],[Code]]&amp; "O1", LightSpec[From],LightSpec[Code], "EMPTY")</f>
        <v>D14O1-GGR-C1</v>
      </c>
      <c r="H21" t="str">
        <f>_xlfn.XLOOKUP(Shelly12[[#This Row],[Code]]&amp; "O2", LightSpec[From],LightSpec[Code], "EMPTY")</f>
        <v>EMPTY</v>
      </c>
      <c r="I21" t="str">
        <f>IF(LEFT(Shelly12[[#This Row],[Code]])="D", "NA", _xlfn.XLOOKUP(Shelly12[[#This Row],[Code]]&amp; "O3", LightSpec[From],LightSpec[Code], "EMPTY"))</f>
        <v>NA</v>
      </c>
      <c r="J21" t="str">
        <f>IF(LEFT(Shelly12[[#This Row],[Code]])="D", "NA", _xlfn.XLOOKUP(Shelly12[[#This Row],[Code]]&amp; "O4", LightSpec[From],LightSpec[Code], "EMPTY"))</f>
        <v>NA</v>
      </c>
    </row>
    <row r="22" spans="1:10" x14ac:dyDescent="0.25">
      <c r="A22" t="s">
        <v>469</v>
      </c>
      <c r="B22" t="str">
        <f>IF(MID(Shelly12[[#This Row],[Code]],1,1)="P", "4PM", "D2PM")</f>
        <v>D2PM</v>
      </c>
      <c r="C22" t="str" cm="1">
        <f t="array" ref="C22">_xlfn.LET(
   _xlpm.group, Shelly12[[#This Row],[Code]],
   _xlpm.matches, _xlfn._xlws.FILTER(LightSpec[CS1], LEFT(LightSpec[From], LEN(_xlpm.group)) = _xlpm.group),
   IFERROR(
     INDEX(_xlpm.matches, MATCH(TRUE, _xlpm.matches&lt;&gt;"", 0)),
     ""
   )
)</f>
        <v>D15S1-FMD-S1 (Switch S1)</v>
      </c>
      <c r="D22" t="str" cm="1">
        <f t="array" ref="D22">_xlfn.LET(
   _xlpm.group, Shelly12[[#This Row],[Code]],
   _xlpm.matches, _xlfn._xlws.FILTER(LightSpec[CS2], LEFT(LightSpec[From], LEN(_xlpm.group)) = _xlpm.group),
   IFERROR(
     INDEX(_xlpm.matches, MATCH(TRUE, _xlpm.matches&lt;&gt;"", 0)),
     ""
   )
)</f>
        <v>D15S1-FMD-S1 (Switch S1)</v>
      </c>
      <c r="E22" t="str" cm="1">
        <f t="array" ref="E22">_xlfn.LET(
   _xlpm.group, Shelly12[[#This Row],[Code]],
   _xlpm.matches, _xlfn._xlws.FILTER(LightSpec[CS3], LEFT(LightSpec[From], LEN(_xlpm.group)) = _xlpm.group),
   IFERROR(
     INDEX(_xlpm.matches, MATCH(TRUE, _xlpm.matches&lt;&gt;"", 0)),
     ""
   )
)</f>
        <v>D15S1-FMD-S1 (Switch S1)</v>
      </c>
      <c r="F22" t="str" cm="1">
        <f t="array" ref="F22">_xlfn.LET(
   _xlpm.group, Shelly12[[#This Row],[Code]],
   _xlpm.matches, _xlfn._xlws.FILTER(LightSpec[CS4], LEFT(LightSpec[From], LEN(_xlpm.group)) = _xlpm.group),
   IFERROR(
     INDEX(_xlpm.matches, MATCH(TRUE, _xlpm.matches&lt;&gt;"", 0)),
     ""
   )
)</f>
        <v>D15S1-FMD-S1 (Switch S1)</v>
      </c>
      <c r="G22" t="str">
        <f>_xlfn.XLOOKUP(Shelly12[[#This Row],[Code]]&amp; "O1", LightSpec[From],LightSpec[Code], "EMPTY")</f>
        <v>D15O1-FMD-C1</v>
      </c>
      <c r="H22" t="str">
        <f>_xlfn.XLOOKUP(Shelly12[[#This Row],[Code]]&amp; "O2", LightSpec[From],LightSpec[Code], "EMPTY")</f>
        <v>D15O2-FMD-C2</v>
      </c>
      <c r="I22" t="str">
        <f>IF(LEFT(Shelly12[[#This Row],[Code]])="D", "NA", _xlfn.XLOOKUP(Shelly12[[#This Row],[Code]]&amp; "O3", LightSpec[From],LightSpec[Code], "EMPTY"))</f>
        <v>NA</v>
      </c>
      <c r="J22" t="str">
        <f>IF(LEFT(Shelly12[[#This Row],[Code]])="D", "NA", _xlfn.XLOOKUP(Shelly12[[#This Row],[Code]]&amp; "O4", LightSpec[From],LightSpec[Code], "EMPTY"))</f>
        <v>NA</v>
      </c>
    </row>
    <row r="23" spans="1:10" x14ac:dyDescent="0.25">
      <c r="A23" t="s">
        <v>415</v>
      </c>
      <c r="B23" t="str">
        <f>IF(MID(Shelly12[[#This Row],[Code]],1,1)="P", "4PM", "D2PM")</f>
        <v>D2PM</v>
      </c>
      <c r="C23" t="str" cm="1">
        <f t="array" ref="C23">_xlfn.LET(
   _xlpm.group, Shelly12[[#This Row],[Code]],
   _xlpm.matches, _xlfn._xlws.FILTER(LightSpec[CS1], LEFT(LightSpec[From], LEN(_xlpm.group)) = _xlpm.group),
   IFERROR(
     INDEX(_xlpm.matches, MATCH(TRUE, _xlpm.matches&lt;&gt;"", 0)),
     ""
   )
)</f>
        <v>D16S1-FMD-S2 (Switch S2)</v>
      </c>
      <c r="D23" t="str" cm="1">
        <f t="array" ref="D23">_xlfn.LET(
   _xlpm.group, Shelly12[[#This Row],[Code]],
   _xlpm.matches, _xlfn._xlws.FILTER(LightSpec[CS2], LEFT(LightSpec[From], LEN(_xlpm.group)) = _xlpm.group),
   IFERROR(
     INDEX(_xlpm.matches, MATCH(TRUE, _xlpm.matches&lt;&gt;"", 0)),
     ""
   )
)</f>
        <v>D16S1-FMD-S2 (Switch S2)</v>
      </c>
      <c r="E23" t="str" cm="1">
        <f t="array" ref="E23">_xlfn.LET(
   _xlpm.group, Shelly12[[#This Row],[Code]],
   _xlpm.matches, _xlfn._xlws.FILTER(LightSpec[CS3], LEFT(LightSpec[From], LEN(_xlpm.group)) = _xlpm.group),
   IFERROR(
     INDEX(_xlpm.matches, MATCH(TRUE, _xlpm.matches&lt;&gt;"", 0)),
     ""
   )
)</f>
        <v>D16S1-FMD-S2 (Switch S2)</v>
      </c>
      <c r="F23" t="str" cm="1">
        <f t="array" ref="F23">_xlfn.LET(
   _xlpm.group, Shelly12[[#This Row],[Code]],
   _xlpm.matches, _xlfn._xlws.FILTER(LightSpec[CS4], LEFT(LightSpec[From], LEN(_xlpm.group)) = _xlpm.group),
   IFERROR(
     INDEX(_xlpm.matches, MATCH(TRUE, _xlpm.matches&lt;&gt;"", 0)),
     ""
   )
)</f>
        <v>D16S1-FMD-S2 (Switch S2)</v>
      </c>
      <c r="G23" t="str">
        <f>_xlfn.XLOOKUP(Shelly12[[#This Row],[Code]]&amp; "O1", LightSpec[From],LightSpec[Code], "EMPTY")</f>
        <v>D16O1-FMD-C3</v>
      </c>
      <c r="H23" t="str">
        <f>_xlfn.XLOOKUP(Shelly12[[#This Row],[Code]]&amp; "O2", LightSpec[From],LightSpec[Code], "EMPTY")</f>
        <v>D16O2-FME-C1</v>
      </c>
      <c r="I23" t="str">
        <f>IF(LEFT(Shelly12[[#This Row],[Code]])="D", "NA", _xlfn.XLOOKUP(Shelly12[[#This Row],[Code]]&amp; "O3", LightSpec[From],LightSpec[Code], "EMPTY"))</f>
        <v>NA</v>
      </c>
      <c r="J23" t="str">
        <f>IF(LEFT(Shelly12[[#This Row],[Code]])="D", "NA", _xlfn.XLOOKUP(Shelly12[[#This Row],[Code]]&amp; "O4", LightSpec[From],LightSpec[Code], "EMPTY"))</f>
        <v>NA</v>
      </c>
    </row>
    <row r="24" spans="1:10" x14ac:dyDescent="0.25">
      <c r="A24" t="s">
        <v>416</v>
      </c>
      <c r="B24" t="str">
        <f>IF(MID(Shelly12[[#This Row],[Code]],1,1)="P", "4PM", "D2PM")</f>
        <v>D2PM</v>
      </c>
      <c r="C24" t="str" cm="1">
        <f t="array" ref="C24">_xlfn.LET(
   _xlpm.group, Shelly12[[#This Row],[Code]],
   _xlpm.matches, _xlfn._xlws.FILTER(LightSpec[CS1], LEFT(LightSpec[From], LEN(_xlpm.group)) = _xlpm.group),
   IFERROR(
     INDEX(_xlpm.matches, MATCH(TRUE, _xlpm.matches&lt;&gt;"", 0)),
     ""
   )
)</f>
        <v/>
      </c>
      <c r="D24" t="str" cm="1">
        <f t="array" ref="D24">_xlfn.LET(
   _xlpm.group, Shelly12[[#This Row],[Code]],
   _xlpm.matches, _xlfn._xlws.FILTER(LightSpec[CS2], LEFT(LightSpec[From], LEN(_xlpm.group)) = _xlpm.group),
   IFERROR(
     INDEX(_xlpm.matches, MATCH(TRUE, _xlpm.matches&lt;&gt;"", 0)),
     ""
   )
)</f>
        <v/>
      </c>
      <c r="E24" t="str" cm="1">
        <f t="array" ref="E24">_xlfn.LET(
   _xlpm.group, Shelly12[[#This Row],[Code]],
   _xlpm.matches, _xlfn._xlws.FILTER(LightSpec[CS3], LEFT(LightSpec[From], LEN(_xlpm.group)) = _xlpm.group),
   IFERROR(
     INDEX(_xlpm.matches, MATCH(TRUE, _xlpm.matches&lt;&gt;"", 0)),
     ""
   )
)</f>
        <v/>
      </c>
      <c r="F24" t="str" cm="1">
        <f t="array" ref="F24">_xlfn.LET(
   _xlpm.group, Shelly12[[#This Row],[Code]],
   _xlpm.matches, _xlfn._xlws.FILTER(LightSpec[CS4], LEFT(LightSpec[From], LEN(_xlpm.group)) = _xlpm.group),
   IFERROR(
     INDEX(_xlpm.matches, MATCH(TRUE, _xlpm.matches&lt;&gt;"", 0)),
     ""
   )
)</f>
        <v/>
      </c>
      <c r="G24" t="str">
        <f>_xlfn.XLOOKUP(Shelly12[[#This Row],[Code]]&amp; "O1", LightSpec[From],LightSpec[Code], "EMPTY")</f>
        <v>D17O1-FME-C2</v>
      </c>
      <c r="H24" t="str">
        <f>_xlfn.XLOOKUP(Shelly12[[#This Row],[Code]]&amp; "O2", LightSpec[From],LightSpec[Code], "EMPTY")</f>
        <v>D17O2-FME-C3</v>
      </c>
      <c r="I24" t="str">
        <f>IF(LEFT(Shelly12[[#This Row],[Code]])="D", "NA", _xlfn.XLOOKUP(Shelly12[[#This Row],[Code]]&amp; "O3", LightSpec[From],LightSpec[Code], "EMPTY"))</f>
        <v>NA</v>
      </c>
      <c r="J24" t="str">
        <f>IF(LEFT(Shelly12[[#This Row],[Code]])="D", "NA", _xlfn.XLOOKUP(Shelly12[[#This Row],[Code]]&amp; "O4", LightSpec[From],LightSpec[Code], "EMPTY"))</f>
        <v>NA</v>
      </c>
    </row>
    <row r="25" spans="1:10" x14ac:dyDescent="0.25">
      <c r="A25" t="s">
        <v>417</v>
      </c>
      <c r="B25" t="str">
        <f>IF(MID(Shelly12[[#This Row],[Code]],1,1)="P", "4PM", "D2PM")</f>
        <v>D2PM</v>
      </c>
      <c r="C25" t="str" cm="1">
        <f t="array" ref="C25">_xlfn.LET(
   _xlpm.group, Shelly12[[#This Row],[Code]],
   _xlpm.matches, _xlfn._xlws.FILTER(LightSpec[CS1], LEFT(LightSpec[From], LEN(_xlpm.group)) = _xlpm.group),
   IFERROR(
     INDEX(_xlpm.matches, MATCH(TRUE, _xlpm.matches&lt;&gt;"", 0)),
     ""
   )
)</f>
        <v/>
      </c>
      <c r="D25" t="str" cm="1">
        <f t="array" ref="D25">_xlfn.LET(
   _xlpm.group, Shelly12[[#This Row],[Code]],
   _xlpm.matches, _xlfn._xlws.FILTER(LightSpec[CS2], LEFT(LightSpec[From], LEN(_xlpm.group)) = _xlpm.group),
   IFERROR(
     INDEX(_xlpm.matches, MATCH(TRUE, _xlpm.matches&lt;&gt;"", 0)),
     ""
   )
)</f>
        <v/>
      </c>
      <c r="E25" t="str" cm="1">
        <f t="array" ref="E25">_xlfn.LET(
   _xlpm.group, Shelly12[[#This Row],[Code]],
   _xlpm.matches, _xlfn._xlws.FILTER(LightSpec[CS3], LEFT(LightSpec[From], LEN(_xlpm.group)) = _xlpm.group),
   IFERROR(
     INDEX(_xlpm.matches, MATCH(TRUE, _xlpm.matches&lt;&gt;"", 0)),
     ""
   )
)</f>
        <v/>
      </c>
      <c r="F25" t="str" cm="1">
        <f t="array" ref="F25">_xlfn.LET(
   _xlpm.group, Shelly12[[#This Row],[Code]],
   _xlpm.matches, _xlfn._xlws.FILTER(LightSpec[CS4], LEFT(LightSpec[From], LEN(_xlpm.group)) = _xlpm.group),
   IFERROR(
     INDEX(_xlpm.matches, MATCH(TRUE, _xlpm.matches&lt;&gt;"", 0)),
     ""
   )
)</f>
        <v/>
      </c>
      <c r="G25" t="str">
        <f>_xlfn.XLOOKUP(Shelly12[[#This Row],[Code]]&amp; "O1", LightSpec[From],LightSpec[Code], "EMPTY")</f>
        <v>D18O1-FME-C4</v>
      </c>
      <c r="H25" t="str">
        <f>_xlfn.XLOOKUP(Shelly12[[#This Row],[Code]]&amp; "O2", LightSpec[From],LightSpec[Code], "EMPTY")</f>
        <v>D18O2-FMB-C1</v>
      </c>
      <c r="I25" t="str">
        <f>IF(LEFT(Shelly12[[#This Row],[Code]])="D", "NA", _xlfn.XLOOKUP(Shelly12[[#This Row],[Code]]&amp; "O3", LightSpec[From],LightSpec[Code], "EMPTY"))</f>
        <v>NA</v>
      </c>
      <c r="J25" t="str">
        <f>IF(LEFT(Shelly12[[#This Row],[Code]])="D", "NA", _xlfn.XLOOKUP(Shelly12[[#This Row],[Code]]&amp; "O4", LightSpec[From],LightSpec[Code], "EMPTY"))</f>
        <v>NA</v>
      </c>
    </row>
    <row r="26" spans="1:10" x14ac:dyDescent="0.25">
      <c r="A26" t="s">
        <v>471</v>
      </c>
      <c r="B26" t="str">
        <f>IF(MID(Shelly12[[#This Row],[Code]],1,1)="P", "4PM", "D2PM")</f>
        <v>D2PM</v>
      </c>
      <c r="C26" t="str" cm="1">
        <f t="array" ref="C26">_xlfn.LET(
   _xlpm.group, Shelly12[[#This Row],[Code]],
   _xlpm.matches, _xlfn._xlws.FILTER(LightSpec[CS1], LEFT(LightSpec[From], LEN(_xlpm.group)) = _xlpm.group),
   IFERROR(
     INDEX(_xlpm.matches, MATCH(TRUE, _xlpm.matches&lt;&gt;"", 0)),
     ""
   )
)</f>
        <v>D19S1-FMB-S1 (Switch S1)</v>
      </c>
      <c r="D26" t="str" cm="1">
        <f t="array" ref="D26">_xlfn.LET(
   _xlpm.group, Shelly12[[#This Row],[Code]],
   _xlpm.matches, _xlfn._xlws.FILTER(LightSpec[CS2], LEFT(LightSpec[From], LEN(_xlpm.group)) = _xlpm.group),
   IFERROR(
     INDEX(_xlpm.matches, MATCH(TRUE, _xlpm.matches&lt;&gt;"", 0)),
     ""
   )
)</f>
        <v>D19S1-FMB-S1 (Switch S1)</v>
      </c>
      <c r="E26" t="str" cm="1">
        <f t="array" ref="E26">_xlfn.LET(
   _xlpm.group, Shelly12[[#This Row],[Code]],
   _xlpm.matches, _xlfn._xlws.FILTER(LightSpec[CS3], LEFT(LightSpec[From], LEN(_xlpm.group)) = _xlpm.group),
   IFERROR(
     INDEX(_xlpm.matches, MATCH(TRUE, _xlpm.matches&lt;&gt;"", 0)),
     ""
   )
)</f>
        <v>D19S1-FMB-S1 (Switch S1)</v>
      </c>
      <c r="F26" t="str" cm="1">
        <f t="array" ref="F26">_xlfn.LET(
   _xlpm.group, Shelly12[[#This Row],[Code]],
   _xlpm.matches, _xlfn._xlws.FILTER(LightSpec[CS4], LEFT(LightSpec[From], LEN(_xlpm.group)) = _xlpm.group),
   IFERROR(
     INDEX(_xlpm.matches, MATCH(TRUE, _xlpm.matches&lt;&gt;"", 0)),
     ""
   )
)</f>
        <v>D19S1-FMB-S1 (Switch S1)</v>
      </c>
      <c r="G26" t="str">
        <f>_xlfn.XLOOKUP(Shelly12[[#This Row],[Code]]&amp; "O1", LightSpec[From],LightSpec[Code], "EMPTY")</f>
        <v>D19O1-FMB-C2</v>
      </c>
      <c r="H26" t="str">
        <f>_xlfn.XLOOKUP(Shelly12[[#This Row],[Code]]&amp; "O2", LightSpec[From],LightSpec[Code], "EMPTY")</f>
        <v>D19O2-FMB-C3</v>
      </c>
      <c r="I26" t="str">
        <f>IF(LEFT(Shelly12[[#This Row],[Code]])="D", "NA", _xlfn.XLOOKUP(Shelly12[[#This Row],[Code]]&amp; "O3", LightSpec[From],LightSpec[Code], "EMPTY"))</f>
        <v>NA</v>
      </c>
      <c r="J26" t="str">
        <f>IF(LEFT(Shelly12[[#This Row],[Code]])="D", "NA", _xlfn.XLOOKUP(Shelly12[[#This Row],[Code]]&amp; "O4", LightSpec[From],LightSpec[Code], "EMPTY"))</f>
        <v>NA</v>
      </c>
    </row>
    <row r="27" spans="1:10" x14ac:dyDescent="0.25">
      <c r="A27" t="s">
        <v>472</v>
      </c>
      <c r="B27" t="str">
        <f>IF(MID(Shelly12[[#This Row],[Code]],1,1)="P", "4PM", "D2PM")</f>
        <v>D2PM</v>
      </c>
      <c r="C27" t="str" cm="1">
        <f t="array" ref="C27">_xlfn.LET(
   _xlpm.group, Shelly12[[#This Row],[Code]],
   _xlpm.matches, _xlfn._xlws.FILTER(LightSpec[CS1], LEFT(LightSpec[From], LEN(_xlpm.group)) = _xlpm.group),
   IFERROR(
     INDEX(_xlpm.matches, MATCH(TRUE, _xlpm.matches&lt;&gt;"", 0)),
     ""
   )
)</f>
        <v/>
      </c>
      <c r="D27" t="str" cm="1">
        <f t="array" ref="D27">_xlfn.LET(
   _xlpm.group, Shelly12[[#This Row],[Code]],
   _xlpm.matches, _xlfn._xlws.FILTER(LightSpec[CS2], LEFT(LightSpec[From], LEN(_xlpm.group)) = _xlpm.group),
   IFERROR(
     INDEX(_xlpm.matches, MATCH(TRUE, _xlpm.matches&lt;&gt;"", 0)),
     ""
   )
)</f>
        <v/>
      </c>
      <c r="E27" t="str" cm="1">
        <f t="array" ref="E27">_xlfn.LET(
   _xlpm.group, Shelly12[[#This Row],[Code]],
   _xlpm.matches, _xlfn._xlws.FILTER(LightSpec[CS3], LEFT(LightSpec[From], LEN(_xlpm.group)) = _xlpm.group),
   IFERROR(
     INDEX(_xlpm.matches, MATCH(TRUE, _xlpm.matches&lt;&gt;"", 0)),
     ""
   )
)</f>
        <v/>
      </c>
      <c r="F27" t="str" cm="1">
        <f t="array" ref="F27">_xlfn.LET(
   _xlpm.group, Shelly12[[#This Row],[Code]],
   _xlpm.matches, _xlfn._xlws.FILTER(LightSpec[CS4], LEFT(LightSpec[From], LEN(_xlpm.group)) = _xlpm.group),
   IFERROR(
     INDEX(_xlpm.matches, MATCH(TRUE, _xlpm.matches&lt;&gt;"", 0)),
     ""
   )
)</f>
        <v/>
      </c>
      <c r="G27" t="str">
        <f>_xlfn.XLOOKUP(Shelly12[[#This Row],[Code]]&amp; "O1", LightSpec[From],LightSpec[Code], "EMPTY")</f>
        <v>D20O1-FMB-C5</v>
      </c>
      <c r="H27" t="str">
        <f>_xlfn.XLOOKUP(Shelly12[[#This Row],[Code]]&amp; "O2", LightSpec[From],LightSpec[Code], "EMPTY")</f>
        <v>D20O2-FMB-C6</v>
      </c>
      <c r="I27" t="str">
        <f>IF(LEFT(Shelly12[[#This Row],[Code]])="D", "NA", _xlfn.XLOOKUP(Shelly12[[#This Row],[Code]]&amp; "O3", LightSpec[From],LightSpec[Code], "EMPTY"))</f>
        <v>NA</v>
      </c>
      <c r="J27" t="str">
        <f>IF(LEFT(Shelly12[[#This Row],[Code]])="D", "NA", _xlfn.XLOOKUP(Shelly12[[#This Row],[Code]]&amp; "O4", LightSpec[From],LightSpec[Code], "EMPTY"))</f>
        <v>NA</v>
      </c>
    </row>
    <row r="28" spans="1:10" x14ac:dyDescent="0.25">
      <c r="A28" t="s">
        <v>473</v>
      </c>
      <c r="B28" t="str">
        <f>IF(MID(Shelly12[[#This Row],[Code]],1,1)="P", "4PM", "D2PM")</f>
        <v>D2PM</v>
      </c>
      <c r="C28" t="str" cm="1">
        <f t="array" ref="C28">_xlfn.LET(
   _xlpm.group, Shelly12[[#This Row],[Code]],
   _xlpm.matches, _xlfn._xlws.FILTER(LightSpec[CS1], LEFT(LightSpec[From], LEN(_xlpm.group)) = _xlpm.group),
   IFERROR(
     INDEX(_xlpm.matches, MATCH(TRUE, _xlpm.matches&lt;&gt;"", 0)),
     ""
   )
)</f>
        <v>D21S1-FB2-S1 (Switch S1)</v>
      </c>
      <c r="D28" t="str" cm="1">
        <f t="array" ref="D28">_xlfn.LET(
   _xlpm.group, Shelly12[[#This Row],[Code]],
   _xlpm.matches, _xlfn._xlws.FILTER(LightSpec[CS2], LEFT(LightSpec[From], LEN(_xlpm.group)) = _xlpm.group),
   IFERROR(
     INDEX(_xlpm.matches, MATCH(TRUE, _xlpm.matches&lt;&gt;"", 0)),
     ""
   )
)</f>
        <v>D21S1-FB2-S1 (Switch S1)</v>
      </c>
      <c r="E28" t="str" cm="1">
        <f t="array" ref="E28">_xlfn.LET(
   _xlpm.group, Shelly12[[#This Row],[Code]],
   _xlpm.matches, _xlfn._xlws.FILTER(LightSpec[CS3], LEFT(LightSpec[From], LEN(_xlpm.group)) = _xlpm.group),
   IFERROR(
     INDEX(_xlpm.matches, MATCH(TRUE, _xlpm.matches&lt;&gt;"", 0)),
     ""
   )
)</f>
        <v>D21S3-FB2-S2 (Switch S2)</v>
      </c>
      <c r="F28" t="str" cm="1">
        <f t="array" ref="F28">_xlfn.LET(
   _xlpm.group, Shelly12[[#This Row],[Code]],
   _xlpm.matches, _xlfn._xlws.FILTER(LightSpec[CS4], LEFT(LightSpec[From], LEN(_xlpm.group)) = _xlpm.group),
   IFERROR(
     INDEX(_xlpm.matches, MATCH(TRUE, _xlpm.matches&lt;&gt;"", 0)),
     ""
   )
)</f>
        <v>D21S3-FB2-S2 (Switch S2)</v>
      </c>
      <c r="G28" t="str">
        <f>_xlfn.XLOOKUP(Shelly12[[#This Row],[Code]]&amp; "O1", LightSpec[From],LightSpec[Code], "EMPTY")</f>
        <v>D21O1-FMB-BC3</v>
      </c>
      <c r="H28" t="str">
        <f>_xlfn.XLOOKUP(Shelly12[[#This Row],[Code]]&amp; "O2", LightSpec[From],LightSpec[Code], "EMPTY")</f>
        <v>D21O2-FB2-C1</v>
      </c>
      <c r="I28" t="str">
        <f>IF(LEFT(Shelly12[[#This Row],[Code]])="D", "NA", _xlfn.XLOOKUP(Shelly12[[#This Row],[Code]]&amp; "O3", LightSpec[From],LightSpec[Code], "EMPTY"))</f>
        <v>NA</v>
      </c>
      <c r="J28" t="str">
        <f>IF(LEFT(Shelly12[[#This Row],[Code]])="D", "NA", _xlfn.XLOOKUP(Shelly12[[#This Row],[Code]]&amp; "O4", LightSpec[From],LightSpec[Code], "EMPTY"))</f>
        <v>NA</v>
      </c>
    </row>
    <row r="29" spans="1:10" x14ac:dyDescent="0.25">
      <c r="A29" t="s">
        <v>474</v>
      </c>
      <c r="B29" t="str">
        <f>IF(MID(Shelly12[[#This Row],[Code]],1,1)="P", "4PM", "D2PM")</f>
        <v>D2PM</v>
      </c>
      <c r="C29" t="str" cm="1">
        <f t="array" ref="C29">_xlfn.LET(
   _xlpm.group, Shelly12[[#This Row],[Code]],
   _xlpm.matches, _xlfn._xlws.FILTER(LightSpec[CS1], LEFT(LightSpec[From], LEN(_xlpm.group)) = _xlpm.group),
   IFERROR(
     INDEX(_xlpm.matches, MATCH(TRUE, _xlpm.matches&lt;&gt;"", 0)),
     ""
   )
)</f>
        <v/>
      </c>
      <c r="D29" t="str" cm="1">
        <f t="array" ref="D29">_xlfn.LET(
   _xlpm.group, Shelly12[[#This Row],[Code]],
   _xlpm.matches, _xlfn._xlws.FILTER(LightSpec[CS2], LEFT(LightSpec[From], LEN(_xlpm.group)) = _xlpm.group),
   IFERROR(
     INDEX(_xlpm.matches, MATCH(TRUE, _xlpm.matches&lt;&gt;"", 0)),
     ""
   )
)</f>
        <v/>
      </c>
      <c r="E29" t="str" cm="1">
        <f t="array" ref="E29">_xlfn.LET(
   _xlpm.group, Shelly12[[#This Row],[Code]],
   _xlpm.matches, _xlfn._xlws.FILTER(LightSpec[CS3], LEFT(LightSpec[From], LEN(_xlpm.group)) = _xlpm.group),
   IFERROR(
     INDEX(_xlpm.matches, MATCH(TRUE, _xlpm.matches&lt;&gt;"", 0)),
     ""
   )
)</f>
        <v/>
      </c>
      <c r="F29" t="str" cm="1">
        <f t="array" ref="F29">_xlfn.LET(
   _xlpm.group, Shelly12[[#This Row],[Code]],
   _xlpm.matches, _xlfn._xlws.FILTER(LightSpec[CS4], LEFT(LightSpec[From], LEN(_xlpm.group)) = _xlpm.group),
   IFERROR(
     INDEX(_xlpm.matches, MATCH(TRUE, _xlpm.matches&lt;&gt;"", 0)),
     ""
   )
)</f>
        <v/>
      </c>
      <c r="G29" s="7" t="str">
        <f>_xlfn.XLOOKUP(Shelly12[[#This Row],[Code]]&amp; "O1", LightSpec[From],LightSpec[Code], "EMPTY")</f>
        <v>D22O1-FB2-C3</v>
      </c>
      <c r="H29" t="str">
        <f>_xlfn.XLOOKUP(Shelly12[[#This Row],[Code]]&amp; "O2", LightSpec[From],LightSpec[Code], "EMPTY")</f>
        <v>D22O2-FE2-C1</v>
      </c>
      <c r="I29" t="str">
        <f>IF(LEFT(Shelly12[[#This Row],[Code]])="D", "NA", _xlfn.XLOOKUP(Shelly12[[#This Row],[Code]]&amp; "O3", LightSpec[From],LightSpec[Code], "EMPTY"))</f>
        <v>NA</v>
      </c>
      <c r="J29" t="str">
        <f>IF(LEFT(Shelly12[[#This Row],[Code]])="D", "NA", _xlfn.XLOOKUP(Shelly12[[#This Row],[Code]]&amp; "O4", LightSpec[From],LightSpec[Code], "EMPTY"))</f>
        <v>NA</v>
      </c>
    </row>
    <row r="30" spans="1:10" x14ac:dyDescent="0.25">
      <c r="A30" t="s">
        <v>475</v>
      </c>
      <c r="B30" t="str">
        <f>IF(MID(Shelly12[[#This Row],[Code]],1,1)="P", "4PM", "D2PM")</f>
        <v>D2PM</v>
      </c>
      <c r="C30" t="str" cm="1">
        <f t="array" ref="C30">_xlfn.LET(
   _xlpm.group, Shelly12[[#This Row],[Code]],
   _xlpm.matches, _xlfn._xlws.FILTER(LightSpec[CS1], LEFT(LightSpec[From], LEN(_xlpm.group)) = _xlpm.group),
   IFERROR(
     INDEX(_xlpm.matches, MATCH(TRUE, _xlpm.matches&lt;&gt;"", 0)),
     ""
   )
)</f>
        <v/>
      </c>
      <c r="D30" t="str" cm="1">
        <f t="array" ref="D30">_xlfn.LET(
   _xlpm.group, Shelly12[[#This Row],[Code]],
   _xlpm.matches, _xlfn._xlws.FILTER(LightSpec[CS2], LEFT(LightSpec[From], LEN(_xlpm.group)) = _xlpm.group),
   IFERROR(
     INDEX(_xlpm.matches, MATCH(TRUE, _xlpm.matches&lt;&gt;"", 0)),
     ""
   )
)</f>
        <v/>
      </c>
      <c r="E30" t="str" cm="1">
        <f t="array" ref="E30">_xlfn.LET(
   _xlpm.group, Shelly12[[#This Row],[Code]],
   _xlpm.matches, _xlfn._xlws.FILTER(LightSpec[CS3], LEFT(LightSpec[From], LEN(_xlpm.group)) = _xlpm.group),
   IFERROR(
     INDEX(_xlpm.matches, MATCH(TRUE, _xlpm.matches&lt;&gt;"", 0)),
     ""
   )
)</f>
        <v/>
      </c>
      <c r="F30" t="str" cm="1">
        <f t="array" ref="F30">_xlfn.LET(
   _xlpm.group, Shelly12[[#This Row],[Code]],
   _xlpm.matches, _xlfn._xlws.FILTER(LightSpec[CS4], LEFT(LightSpec[From], LEN(_xlpm.group)) = _xlpm.group),
   IFERROR(
     INDEX(_xlpm.matches, MATCH(TRUE, _xlpm.matches&lt;&gt;"", 0)),
     ""
   )
)</f>
        <v/>
      </c>
      <c r="G30" t="str">
        <f>_xlfn.XLOOKUP(Shelly12[[#This Row],[Code]]&amp; "O1", LightSpec[From],LightSpec[Code], "EMPTY")</f>
        <v>D23O1-FE2-C2</v>
      </c>
      <c r="H30" t="str">
        <f>_xlfn.XLOOKUP(Shelly12[[#This Row],[Code]]&amp; "O2", LightSpec[From],LightSpec[Code], "EMPTY")</f>
        <v>D23O2-FE2-C3</v>
      </c>
      <c r="I30" t="str">
        <f>IF(LEFT(Shelly12[[#This Row],[Code]])="D", "NA", _xlfn.XLOOKUP(Shelly12[[#This Row],[Code]]&amp; "O3", LightSpec[From],LightSpec[Code], "EMPTY"))</f>
        <v>NA</v>
      </c>
      <c r="J30" t="str">
        <f>IF(LEFT(Shelly12[[#This Row],[Code]])="D", "NA", _xlfn.XLOOKUP(Shelly12[[#This Row],[Code]]&amp; "O4", LightSpec[From],LightSpec[Code], "EMPTY"))</f>
        <v>NA</v>
      </c>
    </row>
    <row r="31" spans="1:10" x14ac:dyDescent="0.25">
      <c r="A31" t="s">
        <v>476</v>
      </c>
      <c r="B31" t="str">
        <f>IF(MID(Shelly12[[#This Row],[Code]],1,1)="P", "4PM", "D2PM")</f>
        <v>D2PM</v>
      </c>
      <c r="C31" t="str" cm="1">
        <f t="array" ref="C31">_xlfn.LET(
   _xlpm.group, Shelly12[[#This Row],[Code]],
   _xlpm.matches, _xlfn._xlws.FILTER(LightSpec[CS1], LEFT(LightSpec[From], LEN(_xlpm.group)) = _xlpm.group),
   IFERROR(
     INDEX(_xlpm.matches, MATCH(TRUE, _xlpm.matches&lt;&gt;"", 0)),
     ""
   )
)</f>
        <v/>
      </c>
      <c r="D31" t="str" cm="1">
        <f t="array" ref="D31">_xlfn.LET(
   _xlpm.group, Shelly12[[#This Row],[Code]],
   _xlpm.matches, _xlfn._xlws.FILTER(LightSpec[CS2], LEFT(LightSpec[From], LEN(_xlpm.group)) = _xlpm.group),
   IFERROR(
     INDEX(_xlpm.matches, MATCH(TRUE, _xlpm.matches&lt;&gt;"", 0)),
     ""
   )
)</f>
        <v/>
      </c>
      <c r="E31" t="str" cm="1">
        <f t="array" ref="E31">_xlfn.LET(
   _xlpm.group, Shelly12[[#This Row],[Code]],
   _xlpm.matches, _xlfn._xlws.FILTER(LightSpec[CS3], LEFT(LightSpec[From], LEN(_xlpm.group)) = _xlpm.group),
   IFERROR(
     INDEX(_xlpm.matches, MATCH(TRUE, _xlpm.matches&lt;&gt;"", 0)),
     ""
   )
)</f>
        <v/>
      </c>
      <c r="F31" t="str" cm="1">
        <f t="array" ref="F31">_xlfn.LET(
   _xlpm.group, Shelly12[[#This Row],[Code]],
   _xlpm.matches, _xlfn._xlws.FILTER(LightSpec[CS4], LEFT(LightSpec[From], LEN(_xlpm.group)) = _xlpm.group),
   IFERROR(
     INDEX(_xlpm.matches, MATCH(TRUE, _xlpm.matches&lt;&gt;"", 0)),
     ""
   )
)</f>
        <v/>
      </c>
      <c r="G31" s="7" t="str">
        <f>_xlfn.XLOOKUP(Shelly12[[#This Row],[Code]]&amp; "O1", LightSpec[From],LightSpec[Code], "EMPTY")</f>
        <v>D24O1-FE2-C4</v>
      </c>
      <c r="H31" t="str">
        <f>_xlfn.XLOOKUP(Shelly12[[#This Row],[Code]]&amp; "O2", LightSpec[From],LightSpec[Code], "EMPTY")</f>
        <v>D24O2-FB3-C1</v>
      </c>
      <c r="I31" t="str">
        <f>IF(LEFT(Shelly12[[#This Row],[Code]])="D", "NA", _xlfn.XLOOKUP(Shelly12[[#This Row],[Code]]&amp; "O3", LightSpec[From],LightSpec[Code], "EMPTY"))</f>
        <v>NA</v>
      </c>
      <c r="J31" t="str">
        <f>IF(LEFT(Shelly12[[#This Row],[Code]])="D", "NA", _xlfn.XLOOKUP(Shelly12[[#This Row],[Code]]&amp; "O4", LightSpec[From],LightSpec[Code], "EMPTY"))</f>
        <v>NA</v>
      </c>
    </row>
    <row r="32" spans="1:10" x14ac:dyDescent="0.25">
      <c r="A32" t="s">
        <v>477</v>
      </c>
      <c r="B32" t="str">
        <f>IF(MID(Shelly12[[#This Row],[Code]],1,1)="P", "4PM", "D2PM")</f>
        <v>D2PM</v>
      </c>
      <c r="C32" t="str" cm="1">
        <f t="array" ref="C32">_xlfn.LET(
   _xlpm.group, Shelly12[[#This Row],[Code]],
   _xlpm.matches, _xlfn._xlws.FILTER(LightSpec[CS1], LEFT(LightSpec[From], LEN(_xlpm.group)) = _xlpm.group),
   IFERROR(
     INDEX(_xlpm.matches, MATCH(TRUE, _xlpm.matches&lt;&gt;"", 0)),
     ""
   )
)</f>
        <v>D25S1-FB3-S1 (Switch S1)</v>
      </c>
      <c r="D32" t="str" cm="1">
        <f t="array" ref="D32">_xlfn.LET(
   _xlpm.group, Shelly12[[#This Row],[Code]],
   _xlpm.matches, _xlfn._xlws.FILTER(LightSpec[CS2], LEFT(LightSpec[From], LEN(_xlpm.group)) = _xlpm.group),
   IFERROR(
     INDEX(_xlpm.matches, MATCH(TRUE, _xlpm.matches&lt;&gt;"", 0)),
     ""
   )
)</f>
        <v>D25S1-FB3-S1 (Switch S1)</v>
      </c>
      <c r="E32" t="str" cm="1">
        <f t="array" ref="E32">_xlfn.LET(
   _xlpm.group, Shelly12[[#This Row],[Code]],
   _xlpm.matches, _xlfn._xlws.FILTER(LightSpec[CS3], LEFT(LightSpec[From], LEN(_xlpm.group)) = _xlpm.group),
   IFERROR(
     INDEX(_xlpm.matches, MATCH(TRUE, _xlpm.matches&lt;&gt;"", 0)),
     ""
   )
)</f>
        <v>D25S1-FB3-S1 (Switch S1)</v>
      </c>
      <c r="F32" t="str" cm="1">
        <f t="array" ref="F32">_xlfn.LET(
   _xlpm.group, Shelly12[[#This Row],[Code]],
   _xlpm.matches, _xlfn._xlws.FILTER(LightSpec[CS4], LEFT(LightSpec[From], LEN(_xlpm.group)) = _xlpm.group),
   IFERROR(
     INDEX(_xlpm.matches, MATCH(TRUE, _xlpm.matches&lt;&gt;"", 0)),
     ""
   )
)</f>
        <v>D25S1-FB3-S1 (Switch S1)</v>
      </c>
      <c r="G32" s="7" t="str">
        <f>_xlfn.XLOOKUP(Shelly12[[#This Row],[Code]]&amp; "O1", LightSpec[From],LightSpec[Code], "EMPTY")</f>
        <v>D25O1-FB3-C3</v>
      </c>
      <c r="H32" t="str">
        <f>_xlfn.XLOOKUP(Shelly12[[#This Row],[Code]]&amp; "O2", LightSpec[From],LightSpec[Code], "EMPTY")</f>
        <v>D25O2-FB3-C4</v>
      </c>
      <c r="I32" t="str">
        <f>IF(LEFT(Shelly12[[#This Row],[Code]])="D", "NA", _xlfn.XLOOKUP(Shelly12[[#This Row],[Code]]&amp; "O3", LightSpec[From],LightSpec[Code], "EMPTY"))</f>
        <v>NA</v>
      </c>
      <c r="J32" t="str">
        <f>IF(LEFT(Shelly12[[#This Row],[Code]])="D", "NA", _xlfn.XLOOKUP(Shelly12[[#This Row],[Code]]&amp; "O4", LightSpec[From],LightSpec[Code], "EMPTY"))</f>
        <v>NA</v>
      </c>
    </row>
    <row r="33" spans="1:10" x14ac:dyDescent="0.25">
      <c r="A33" t="s">
        <v>478</v>
      </c>
      <c r="B33" t="str">
        <f>IF(MID(Shelly12[[#This Row],[Code]],1,1)="P", "4PM", "D2PM")</f>
        <v>D2PM</v>
      </c>
      <c r="C33" t="str" cm="1">
        <f t="array" ref="C33">_xlfn.LET(
   _xlpm.group, Shelly12[[#This Row],[Code]],
   _xlpm.matches, _xlfn._xlws.FILTER(LightSpec[CS1], LEFT(LightSpec[From], LEN(_xlpm.group)) = _xlpm.group),
   IFERROR(
     INDEX(_xlpm.matches, MATCH(TRUE, _xlpm.matches&lt;&gt;"", 0)),
     ""
   )
)</f>
        <v>D26S1-FB4-S1 (Switch S1)</v>
      </c>
      <c r="D33" t="str" cm="1">
        <f t="array" ref="D33">_xlfn.LET(
   _xlpm.group, Shelly12[[#This Row],[Code]],
   _xlpm.matches, _xlfn._xlws.FILTER(LightSpec[CS2], LEFT(LightSpec[From], LEN(_xlpm.group)) = _xlpm.group),
   IFERROR(
     INDEX(_xlpm.matches, MATCH(TRUE, _xlpm.matches&lt;&gt;"", 0)),
     ""
   )
)</f>
        <v>D26S1-FB4-S1 (Switch S1)</v>
      </c>
      <c r="E33" t="str" cm="1">
        <f t="array" ref="E33">_xlfn.LET(
   _xlpm.group, Shelly12[[#This Row],[Code]],
   _xlpm.matches, _xlfn._xlws.FILTER(LightSpec[CS3], LEFT(LightSpec[From], LEN(_xlpm.group)) = _xlpm.group),
   IFERROR(
     INDEX(_xlpm.matches, MATCH(TRUE, _xlpm.matches&lt;&gt;"", 0)),
     ""
   )
)</f>
        <v/>
      </c>
      <c r="F33" t="str" cm="1">
        <f t="array" ref="F33">_xlfn.LET(
   _xlpm.group, Shelly12[[#This Row],[Code]],
   _xlpm.matches, _xlfn._xlws.FILTER(LightSpec[CS4], LEFT(LightSpec[From], LEN(_xlpm.group)) = _xlpm.group),
   IFERROR(
     INDEX(_xlpm.matches, MATCH(TRUE, _xlpm.matches&lt;&gt;"", 0)),
     ""
   )
)</f>
        <v/>
      </c>
      <c r="G33" t="str">
        <f>_xlfn.XLOOKUP(Shelly12[[#This Row],[Code]]&amp; "O1", LightSpec[From],LightSpec[Code], "EMPTY")</f>
        <v>D26O1-FE3-C1</v>
      </c>
      <c r="H33" t="str">
        <f>_xlfn.XLOOKUP(Shelly12[[#This Row],[Code]]&amp; "O2", LightSpec[From],LightSpec[Code], "EMPTY")</f>
        <v>EMPTY</v>
      </c>
      <c r="I33" t="str">
        <f>IF(LEFT(Shelly12[[#This Row],[Code]])="D", "NA", _xlfn.XLOOKUP(Shelly12[[#This Row],[Code]]&amp; "O3", LightSpec[From],LightSpec[Code], "EMPTY"))</f>
        <v>NA</v>
      </c>
      <c r="J33" t="str">
        <f>IF(LEFT(Shelly12[[#This Row],[Code]])="D", "NA", _xlfn.XLOOKUP(Shelly12[[#This Row],[Code]]&amp; "O4", LightSpec[From],LightSpec[Code], "EMPTY"))</f>
        <v>NA</v>
      </c>
    </row>
    <row r="34" spans="1:10" x14ac:dyDescent="0.25">
      <c r="A34" t="s">
        <v>479</v>
      </c>
      <c r="B34" t="str">
        <f>IF(MID(Shelly12[[#This Row],[Code]],1,1)="P", "4PM", "D2PM")</f>
        <v>D2PM</v>
      </c>
      <c r="C34" t="str" cm="1">
        <f t="array" ref="C34">_xlfn.LET(
   _xlpm.group, Shelly12[[#This Row],[Code]],
   _xlpm.matches, _xlfn._xlws.FILTER(LightSpec[CS1], LEFT(LightSpec[From], LEN(_xlpm.group)) = _xlpm.group),
   IFERROR(
     INDEX(_xlpm.matches, MATCH(TRUE, _xlpm.matches&lt;&gt;"", 0)),
     ""
   )
)</f>
        <v>D27S1-FB4-S2 (Switch S2)</v>
      </c>
      <c r="D34" t="str" cm="1">
        <f t="array" ref="D34">_xlfn.LET(
   _xlpm.group, Shelly12[[#This Row],[Code]],
   _xlpm.matches, _xlfn._xlws.FILTER(LightSpec[CS2], LEFT(LightSpec[From], LEN(_xlpm.group)) = _xlpm.group),
   IFERROR(
     INDEX(_xlpm.matches, MATCH(TRUE, _xlpm.matches&lt;&gt;"", 0)),
     ""
   )
)</f>
        <v>D27S1-FB4-S2 (Switch S2)</v>
      </c>
      <c r="E34" t="str" cm="1">
        <f t="array" ref="E34">_xlfn.LET(
   _xlpm.group, Shelly12[[#This Row],[Code]],
   _xlpm.matches, _xlfn._xlws.FILTER(LightSpec[CS3], LEFT(LightSpec[From], LEN(_xlpm.group)) = _xlpm.group),
   IFERROR(
     INDEX(_xlpm.matches, MATCH(TRUE, _xlpm.matches&lt;&gt;"", 0)),
     ""
   )
)</f>
        <v/>
      </c>
      <c r="F34" t="str" cm="1">
        <f t="array" ref="F34">_xlfn.LET(
   _xlpm.group, Shelly12[[#This Row],[Code]],
   _xlpm.matches, _xlfn._xlws.FILTER(LightSpec[CS4], LEFT(LightSpec[From], LEN(_xlpm.group)) = _xlpm.group),
   IFERROR(
     INDEX(_xlpm.matches, MATCH(TRUE, _xlpm.matches&lt;&gt;"", 0)),
     ""
   )
)</f>
        <v/>
      </c>
      <c r="G34" t="str">
        <f>_xlfn.XLOOKUP(Shelly12[[#This Row],[Code]]&amp; "O1", LightSpec[From],LightSpec[Code], "EMPTY")</f>
        <v>D27O1-FB4-C1</v>
      </c>
      <c r="H34" t="str">
        <f>_xlfn.XLOOKUP(Shelly12[[#This Row],[Code]]&amp; "O2", LightSpec[From],LightSpec[Code], "EMPTY")</f>
        <v>D27O2-FB4-C3</v>
      </c>
      <c r="I34" t="str">
        <f>IF(LEFT(Shelly12[[#This Row],[Code]])="D", "NA", _xlfn.XLOOKUP(Shelly12[[#This Row],[Code]]&amp; "O3", LightSpec[From],LightSpec[Code], "EMPTY"))</f>
        <v>NA</v>
      </c>
      <c r="J34" t="str">
        <f>IF(LEFT(Shelly12[[#This Row],[Code]])="D", "NA", _xlfn.XLOOKUP(Shelly12[[#This Row],[Code]]&amp; "O4", LightSpec[From],LightSpec[Code], "EMPTY"))</f>
        <v>NA</v>
      </c>
    </row>
    <row r="35" spans="1:10" x14ac:dyDescent="0.25">
      <c r="A35" t="s">
        <v>480</v>
      </c>
      <c r="B35" t="str">
        <f>IF(MID(Shelly12[[#This Row],[Code]],1,1)="P", "4PM", "D2PM")</f>
        <v>D2PM</v>
      </c>
      <c r="C35" t="str" cm="1">
        <f t="array" ref="C35">_xlfn.LET(
   _xlpm.group, Shelly12[[#This Row],[Code]],
   _xlpm.matches, _xlfn._xlws.FILTER(LightSpec[CS1], LEFT(LightSpec[From], LEN(_xlpm.group)) = _xlpm.group),
   IFERROR(
     INDEX(_xlpm.matches, MATCH(TRUE, _xlpm.matches&lt;&gt;"", 0)),
     ""
   )
)</f>
        <v/>
      </c>
      <c r="D35" t="str" cm="1">
        <f t="array" ref="D35">_xlfn.LET(
   _xlpm.group, Shelly12[[#This Row],[Code]],
   _xlpm.matches, _xlfn._xlws.FILTER(LightSpec[CS2], LEFT(LightSpec[From], LEN(_xlpm.group)) = _xlpm.group),
   IFERROR(
     INDEX(_xlpm.matches, MATCH(TRUE, _xlpm.matches&lt;&gt;"", 0)),
     ""
   )
)</f>
        <v/>
      </c>
      <c r="E35" t="str" cm="1">
        <f t="array" ref="E35">_xlfn.LET(
   _xlpm.group, Shelly12[[#This Row],[Code]],
   _xlpm.matches, _xlfn._xlws.FILTER(LightSpec[CS3], LEFT(LightSpec[From], LEN(_xlpm.group)) = _xlpm.group),
   IFERROR(
     INDEX(_xlpm.matches, MATCH(TRUE, _xlpm.matches&lt;&gt;"", 0)),
     ""
   )
)</f>
        <v/>
      </c>
      <c r="F35" t="str" cm="1">
        <f t="array" ref="F35">_xlfn.LET(
   _xlpm.group, Shelly12[[#This Row],[Code]],
   _xlpm.matches, _xlfn._xlws.FILTER(LightSpec[CS4], LEFT(LightSpec[From], LEN(_xlpm.group)) = _xlpm.group),
   IFERROR(
     INDEX(_xlpm.matches, MATCH(TRUE, _xlpm.matches&lt;&gt;"", 0)),
     ""
   )
)</f>
        <v/>
      </c>
      <c r="G35" t="str">
        <f>_xlfn.XLOOKUP(Shelly12[[#This Row],[Code]]&amp; "O1", LightSpec[From],LightSpec[Code], "EMPTY")</f>
        <v>D28O1-FE4-C1</v>
      </c>
      <c r="H35" t="str">
        <f>_xlfn.XLOOKUP(Shelly12[[#This Row],[Code]]&amp; "O2", LightSpec[From],LightSpec[Code], "EMPTY")</f>
        <v>EMPTY</v>
      </c>
      <c r="I35" t="str">
        <f>IF(LEFT(Shelly12[[#This Row],[Code]])="D", "NA", _xlfn.XLOOKUP(Shelly12[[#This Row],[Code]]&amp; "O3", LightSpec[From],LightSpec[Code], "EMPTY"))</f>
        <v>NA</v>
      </c>
      <c r="J35" t="str">
        <f>IF(LEFT(Shelly12[[#This Row],[Code]])="D", "NA", _xlfn.XLOOKUP(Shelly12[[#This Row],[Code]]&amp; "O4", LightSpec[From],LightSpec[Code], "EMPTY"))</f>
        <v>NA</v>
      </c>
    </row>
    <row r="36" spans="1:10" x14ac:dyDescent="0.25">
      <c r="A36" t="s">
        <v>481</v>
      </c>
      <c r="B36" t="str">
        <f>IF(MID(Shelly12[[#This Row],[Code]],1,1)="P", "4PM", "D2PM")</f>
        <v>D2PM</v>
      </c>
      <c r="C36" t="str" cm="1">
        <f t="array" ref="C36">_xlfn.LET(
   _xlpm.group, Shelly12[[#This Row],[Code]],
   _xlpm.matches, _xlfn._xlws.FILTER(LightSpec[CS1], LEFT(LightSpec[From], LEN(_xlpm.group)) = _xlpm.group),
   IFERROR(
     INDEX(_xlpm.matches, MATCH(TRUE, _xlpm.matches&lt;&gt;"", 0)),
     ""
   )
)</f>
        <v/>
      </c>
      <c r="D36" t="str" cm="1">
        <f t="array" ref="D36">_xlfn.LET(
   _xlpm.group, Shelly12[[#This Row],[Code]],
   _xlpm.matches, _xlfn._xlws.FILTER(LightSpec[CS2], LEFT(LightSpec[From], LEN(_xlpm.group)) = _xlpm.group),
   IFERROR(
     INDEX(_xlpm.matches, MATCH(TRUE, _xlpm.matches&lt;&gt;"", 0)),
     ""
   )
)</f>
        <v/>
      </c>
      <c r="E36" t="str" cm="1">
        <f t="array" ref="E36">_xlfn.LET(
   _xlpm.group, Shelly12[[#This Row],[Code]],
   _xlpm.matches, _xlfn._xlws.FILTER(LightSpec[CS3], LEFT(LightSpec[From], LEN(_xlpm.group)) = _xlpm.group),
   IFERROR(
     INDEX(_xlpm.matches, MATCH(TRUE, _xlpm.matches&lt;&gt;"", 0)),
     ""
   )
)</f>
        <v/>
      </c>
      <c r="F36" t="str" cm="1">
        <f t="array" ref="F36">_xlfn.LET(
   _xlpm.group, Shelly12[[#This Row],[Code]],
   _xlpm.matches, _xlfn._xlws.FILTER(LightSpec[CS4], LEFT(LightSpec[From], LEN(_xlpm.group)) = _xlpm.group),
   IFERROR(
     INDEX(_xlpm.matches, MATCH(TRUE, _xlpm.matches&lt;&gt;"", 0)),
     ""
   )
)</f>
        <v/>
      </c>
      <c r="G36" t="str">
        <f>_xlfn.XLOOKUP(Shelly12[[#This Row],[Code]]&amp; "O1", LightSpec[From],LightSpec[Code], "EMPTY")</f>
        <v>D29O1-FB4-C2</v>
      </c>
      <c r="H36" t="str">
        <f>_xlfn.XLOOKUP(Shelly12[[#This Row],[Code]]&amp; "O2", LightSpec[From],LightSpec[Code], "EMPTY")</f>
        <v>EMPTY</v>
      </c>
      <c r="I36" t="str">
        <f>IF(LEFT(Shelly12[[#This Row],[Code]])="D", "NA", _xlfn.XLOOKUP(Shelly12[[#This Row],[Code]]&amp; "O3", LightSpec[From],LightSpec[Code], "EMPTY"))</f>
        <v>NA</v>
      </c>
      <c r="J36" t="str">
        <f>IF(LEFT(Shelly12[[#This Row],[Code]])="D", "NA", _xlfn.XLOOKUP(Shelly12[[#This Row],[Code]]&amp; "O4", LightSpec[From],LightSpec[Code], "EMPTY"))</f>
        <v>NA</v>
      </c>
    </row>
    <row r="37" spans="1:10" x14ac:dyDescent="0.25">
      <c r="A37" t="s">
        <v>482</v>
      </c>
      <c r="B37" t="str">
        <f>IF(MID(Shelly12[[#This Row],[Code]],1,1)="P", "4PM", "D2PM")</f>
        <v>D2PM</v>
      </c>
      <c r="C37" t="str" cm="1">
        <f t="array" ref="C37">_xlfn.LET(
   _xlpm.group, Shelly12[[#This Row],[Code]],
   _xlpm.matches, _xlfn._xlws.FILTER(LightSpec[CS1], LEFT(LightSpec[From], LEN(_xlpm.group)) = _xlpm.group),
   IFERROR(
     INDEX(_xlpm.matches, MATCH(TRUE, _xlpm.matches&lt;&gt;"", 0)),
     ""
   )
)</f>
        <v/>
      </c>
      <c r="D37" t="str" cm="1">
        <f t="array" ref="D37">_xlfn.LET(
   _xlpm.group, Shelly12[[#This Row],[Code]],
   _xlpm.matches, _xlfn._xlws.FILTER(LightSpec[CS2], LEFT(LightSpec[From], LEN(_xlpm.group)) = _xlpm.group),
   IFERROR(
     INDEX(_xlpm.matches, MATCH(TRUE, _xlpm.matches&lt;&gt;"", 0)),
     ""
   )
)</f>
        <v/>
      </c>
      <c r="E37" t="str" cm="1">
        <f t="array" ref="E37">_xlfn.LET(
   _xlpm.group, Shelly12[[#This Row],[Code]],
   _xlpm.matches, _xlfn._xlws.FILTER(LightSpec[CS3], LEFT(LightSpec[From], LEN(_xlpm.group)) = _xlpm.group),
   IFERROR(
     INDEX(_xlpm.matches, MATCH(TRUE, _xlpm.matches&lt;&gt;"", 0)),
     ""
   )
)</f>
        <v/>
      </c>
      <c r="F37" t="str" cm="1">
        <f t="array" ref="F37">_xlfn.LET(
   _xlpm.group, Shelly12[[#This Row],[Code]],
   _xlpm.matches, _xlfn._xlws.FILTER(LightSpec[CS4], LEFT(LightSpec[From], LEN(_xlpm.group)) = _xlpm.group),
   IFERROR(
     INDEX(_xlpm.matches, MATCH(TRUE, _xlpm.matches&lt;&gt;"", 0)),
     ""
   )
)</f>
        <v/>
      </c>
      <c r="G37" t="str">
        <f>_xlfn.XLOOKUP(Shelly12[[#This Row],[Code]]&amp; "O1", LightSpec[From],LightSpec[Code], "EMPTY")</f>
        <v>EMPTY</v>
      </c>
      <c r="H37" t="str">
        <f>_xlfn.XLOOKUP(Shelly12[[#This Row],[Code]]&amp; "O2", LightSpec[From],LightSpec[Code], "EMPTY")</f>
        <v>EMPTY</v>
      </c>
      <c r="I37" t="str">
        <f>IF(LEFT(Shelly12[[#This Row],[Code]])="D", "NA", _xlfn.XLOOKUP(Shelly12[[#This Row],[Code]]&amp; "O3", LightSpec[From],LightSpec[Code], "EMPTY"))</f>
        <v>NA</v>
      </c>
      <c r="J37" t="str">
        <f>IF(LEFT(Shelly12[[#This Row],[Code]])="D", "NA", _xlfn.XLOOKUP(Shelly12[[#This Row],[Code]]&amp; "O4", LightSpec[From],LightSpec[Code], "EMPTY"))</f>
        <v>NA</v>
      </c>
    </row>
  </sheetData>
  <pageMargins left="0.25" right="0.25" top="0.75" bottom="0.75" header="0.3" footer="0.3"/>
  <pageSetup paperSize="9" scale="59" fitToHeight="0" orientation="landscape" horizontalDpi="4294967295" verticalDpi="4294967295"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C4206-4141-4753-AE9C-AE20F6BE091A}">
  <dimension ref="A1:L398"/>
  <sheetViews>
    <sheetView workbookViewId="0">
      <selection activeCell="D391" sqref="D391"/>
    </sheetView>
  </sheetViews>
  <sheetFormatPr defaultRowHeight="15.75" x14ac:dyDescent="0.25"/>
  <cols>
    <col min="1" max="1" width="14.75" bestFit="1" customWidth="1"/>
    <col min="2" max="2" width="14.5" bestFit="1" customWidth="1"/>
    <col min="3" max="3" width="6.625" bestFit="1" customWidth="1"/>
    <col min="4" max="4" width="10.625" bestFit="1" customWidth="1"/>
    <col min="5" max="5" width="13.25" customWidth="1"/>
    <col min="6" max="6" width="14.625" bestFit="1" customWidth="1"/>
    <col min="7" max="7" width="7.125" bestFit="1" customWidth="1"/>
    <col min="8" max="8" width="18.5" bestFit="1" customWidth="1"/>
    <col min="9" max="9" width="12.125" customWidth="1"/>
    <col min="10" max="10" width="12.375" customWidth="1"/>
    <col min="11" max="11" width="15.375" customWidth="1"/>
    <col min="12" max="12" width="56.25" customWidth="1"/>
  </cols>
  <sheetData>
    <row r="1" spans="1:12" x14ac:dyDescent="0.25">
      <c r="A1" t="s">
        <v>584</v>
      </c>
      <c r="B1" t="s">
        <v>585</v>
      </c>
      <c r="C1" t="s">
        <v>592</v>
      </c>
      <c r="D1" t="s">
        <v>439</v>
      </c>
      <c r="E1" t="s">
        <v>590</v>
      </c>
      <c r="F1" t="s">
        <v>504</v>
      </c>
      <c r="G1" t="s">
        <v>491</v>
      </c>
      <c r="H1" t="s">
        <v>509</v>
      </c>
      <c r="I1" t="s">
        <v>499</v>
      </c>
      <c r="J1" t="s">
        <v>498</v>
      </c>
      <c r="K1" t="s">
        <v>497</v>
      </c>
      <c r="L1" t="s">
        <v>141</v>
      </c>
    </row>
    <row r="2" spans="1:12" hidden="1" x14ac:dyDescent="0.25">
      <c r="A2" t="s">
        <v>179</v>
      </c>
      <c r="B2" t="s">
        <v>192</v>
      </c>
      <c r="C2" cm="1">
        <f t="array" ref="C2">_xlfn.XLOOKUP(1,(LightSpec[Location]=Table2[[#This Row],[lookup Room]]) * (LightSpec[DiagNo]=Table2[[#This Row],[lookup Device]]), LightSpec[startinput])</f>
        <v>0</v>
      </c>
      <c r="D2" t="s">
        <v>445</v>
      </c>
      <c r="E2" t="s">
        <v>500</v>
      </c>
      <c r="F2" t="str" cm="1">
        <f t="array" aca="1" ref="F2" ca="1">_xlfn.LET(
  _xlpm.txt, _xlfn.XLOOKUP(1,(LightSpec[Location]=Table2[[#This Row],[lookup Room]]) * (LightSpec[DiagNo]=Table2[[#This Row],[lookup Device]]),LightSpec[From]),
  _xlpm.n, LEN(_xlpm.txt),
  _xlpm.pos, MATCH(FALSE, ISNUMBER(MID(_xlpm.txt, ROW(INDIRECT("2:" &amp; _xlpm.n)), 1)*1), 0),
  LEFT(_xlpm.txt, _xlpm.pos)
)</f>
        <v>D1</v>
      </c>
      <c r="G2">
        <f>_xlfn.XLOOKUP(Table2[[#This Row],[Trigger]],SwitchButtons[switch],SwitchButtons[input])+Table2[[#This Row],[start]]</f>
        <v>0</v>
      </c>
      <c r="H2" t="s">
        <v>516</v>
      </c>
      <c r="I2" t="str">
        <f>_xlfn.XLOOKUP(Table2[[#This Row],[set1]],circuitoutputs[circuit],circuitoutputs[device])</f>
        <v>D1</v>
      </c>
      <c r="J2">
        <f>_xlfn.XLOOKUP(Table2[[#This Row],[set1]],circuitoutputs[circuit],circuitoutputs[output])</f>
        <v>0</v>
      </c>
      <c r="K2" t="s">
        <v>494</v>
      </c>
    </row>
    <row r="3" spans="1:12" hidden="1" x14ac:dyDescent="0.25">
      <c r="A3" t="s">
        <v>179</v>
      </c>
      <c r="B3" t="s">
        <v>192</v>
      </c>
      <c r="C3" cm="1">
        <f t="array" ref="C3">_xlfn.XLOOKUP(1,(LightSpec[Location]=Table2[[#This Row],[lookup Room]]) * (LightSpec[DiagNo]=Table2[[#This Row],[lookup Device]]), LightSpec[startinput])</f>
        <v>0</v>
      </c>
      <c r="D3" t="s">
        <v>445</v>
      </c>
      <c r="E3" t="s">
        <v>500</v>
      </c>
      <c r="F3" t="str" cm="1">
        <f t="array" aca="1" ref="F3" ca="1">_xlfn.LET(
  _xlpm.txt, _xlfn.XLOOKUP(1,(LightSpec[Location]=Table2[[#This Row],[lookup Room]]) * (LightSpec[DiagNo]=Table2[[#This Row],[lookup Device]]),LightSpec[From]),
  _xlpm.n, LEN(_xlpm.txt),
  _xlpm.pos, MATCH(FALSE, ISNUMBER(MID(_xlpm.txt, ROW(INDIRECT("2:" &amp; _xlpm.n)), 1)*1), 0),
  LEFT(_xlpm.txt, _xlpm.pos)
)</f>
        <v>D1</v>
      </c>
      <c r="G3">
        <f>_xlfn.XLOOKUP(Table2[[#This Row],[Trigger]],SwitchButtons[switch],SwitchButtons[input])+Table2[[#This Row],[start]]</f>
        <v>0</v>
      </c>
      <c r="H3" t="s">
        <v>553</v>
      </c>
      <c r="I3" t="str">
        <f>_xlfn.XLOOKUP(Table2[[#This Row],[set1]],circuitoutputs[circuit],circuitoutputs[device])</f>
        <v>D1</v>
      </c>
      <c r="J3">
        <f>_xlfn.XLOOKUP(Table2[[#This Row],[set1]],circuitoutputs[circuit],circuitoutputs[output])</f>
        <v>1</v>
      </c>
      <c r="K3" t="s">
        <v>494</v>
      </c>
    </row>
    <row r="4" spans="1:12" hidden="1" x14ac:dyDescent="0.25">
      <c r="A4" t="s">
        <v>179</v>
      </c>
      <c r="B4" t="s">
        <v>192</v>
      </c>
      <c r="C4" cm="1">
        <f t="array" ref="C4">_xlfn.XLOOKUP(1,(LightSpec[Location]=Table2[[#This Row],[lookup Room]]) * (LightSpec[DiagNo]=Table2[[#This Row],[lookup Device]]), LightSpec[startinput])</f>
        <v>0</v>
      </c>
      <c r="D4" t="s">
        <v>445</v>
      </c>
      <c r="E4" t="s">
        <v>500</v>
      </c>
      <c r="F4" t="str" cm="1">
        <f t="array" aca="1" ref="F4" ca="1">_xlfn.LET(
  _xlpm.txt, _xlfn.XLOOKUP(1,(LightSpec[Location]=Table2[[#This Row],[lookup Room]]) * (LightSpec[DiagNo]=Table2[[#This Row],[lookup Device]]),LightSpec[From]),
  _xlpm.n, LEN(_xlpm.txt),
  _xlpm.pos, MATCH(FALSE, ISNUMBER(MID(_xlpm.txt, ROW(INDIRECT("2:" &amp; _xlpm.n)), 1)*1), 0),
  LEFT(_xlpm.txt, _xlpm.pos)
)</f>
        <v>D1</v>
      </c>
      <c r="G4">
        <f>_xlfn.XLOOKUP(Table2[[#This Row],[Trigger]],SwitchButtons[switch],SwitchButtons[input])+Table2[[#This Row],[start]]</f>
        <v>0</v>
      </c>
      <c r="H4" t="s">
        <v>517</v>
      </c>
      <c r="I4" t="str">
        <f>_xlfn.XLOOKUP(Table2[[#This Row],[set1]],circuitoutputs[circuit],circuitoutputs[device])</f>
        <v>D2</v>
      </c>
      <c r="J4">
        <f>_xlfn.XLOOKUP(Table2[[#This Row],[set1]],circuitoutputs[circuit],circuitoutputs[output])</f>
        <v>0</v>
      </c>
      <c r="K4" t="s">
        <v>494</v>
      </c>
    </row>
    <row r="5" spans="1:12" hidden="1" x14ac:dyDescent="0.25">
      <c r="A5" t="s">
        <v>179</v>
      </c>
      <c r="B5" t="s">
        <v>192</v>
      </c>
      <c r="C5" cm="1">
        <f t="array" ref="C5">_xlfn.XLOOKUP(1,(LightSpec[Location]=Table2[[#This Row],[lookup Room]]) * (LightSpec[DiagNo]=Table2[[#This Row],[lookup Device]]), LightSpec[startinput])</f>
        <v>0</v>
      </c>
      <c r="D5" t="s">
        <v>445</v>
      </c>
      <c r="E5" t="s">
        <v>500</v>
      </c>
      <c r="F5" t="str" cm="1">
        <f t="array" aca="1" ref="F5" ca="1">_xlfn.LET(
  _xlpm.txt, _xlfn.XLOOKUP(1,(LightSpec[Location]=Table2[[#This Row],[lookup Room]]) * (LightSpec[DiagNo]=Table2[[#This Row],[lookup Device]]),LightSpec[From]),
  _xlpm.n, LEN(_xlpm.txt),
  _xlpm.pos, MATCH(FALSE, ISNUMBER(MID(_xlpm.txt, ROW(INDIRECT("2:" &amp; _xlpm.n)), 1)*1), 0),
  LEFT(_xlpm.txt, _xlpm.pos)
)</f>
        <v>D1</v>
      </c>
      <c r="G5">
        <f>_xlfn.XLOOKUP(Table2[[#This Row],[Trigger]],SwitchButtons[switch],SwitchButtons[input])+Table2[[#This Row],[start]]</f>
        <v>0</v>
      </c>
      <c r="H5" t="s">
        <v>554</v>
      </c>
      <c r="I5" t="str">
        <f>_xlfn.XLOOKUP(Table2[[#This Row],[set1]],circuitoutputs[circuit],circuitoutputs[device])</f>
        <v>D2</v>
      </c>
      <c r="J5">
        <f>_xlfn.XLOOKUP(Table2[[#This Row],[set1]],circuitoutputs[circuit],circuitoutputs[output])</f>
        <v>1</v>
      </c>
      <c r="K5" t="s">
        <v>494</v>
      </c>
    </row>
    <row r="6" spans="1:12" hidden="1" x14ac:dyDescent="0.25">
      <c r="A6" t="s">
        <v>179</v>
      </c>
      <c r="B6" t="s">
        <v>192</v>
      </c>
      <c r="C6" cm="1">
        <f t="array" ref="C6">_xlfn.XLOOKUP(1,(LightSpec[Location]=Table2[[#This Row],[lookup Room]]) * (LightSpec[DiagNo]=Table2[[#This Row],[lookup Device]]), LightSpec[startinput])</f>
        <v>0</v>
      </c>
      <c r="D6" t="s">
        <v>445</v>
      </c>
      <c r="E6" t="s">
        <v>500</v>
      </c>
      <c r="F6" t="str" cm="1">
        <f t="array" aca="1" ref="F6" ca="1">_xlfn.LET(
  _xlpm.txt, _xlfn.XLOOKUP(1,(LightSpec[Location]=Table2[[#This Row],[lookup Room]]) * (LightSpec[DiagNo]=Table2[[#This Row],[lookup Device]]),LightSpec[From]),
  _xlpm.n, LEN(_xlpm.txt),
  _xlpm.pos, MATCH(FALSE, ISNUMBER(MID(_xlpm.txt, ROW(INDIRECT("2:" &amp; _xlpm.n)), 1)*1), 0),
  LEFT(_xlpm.txt, _xlpm.pos)
)</f>
        <v>D1</v>
      </c>
      <c r="G6">
        <f>_xlfn.XLOOKUP(Table2[[#This Row],[Trigger]],SwitchButtons[switch],SwitchButtons[input])+Table2[[#This Row],[start]]</f>
        <v>0</v>
      </c>
      <c r="H6" t="s">
        <v>518</v>
      </c>
      <c r="I6" t="str">
        <f>_xlfn.XLOOKUP(Table2[[#This Row],[set1]],circuitoutputs[circuit],circuitoutputs[device])</f>
        <v>D3</v>
      </c>
      <c r="J6">
        <f>_xlfn.XLOOKUP(Table2[[#This Row],[set1]],circuitoutputs[circuit],circuitoutputs[output])</f>
        <v>0</v>
      </c>
      <c r="K6" t="s">
        <v>494</v>
      </c>
    </row>
    <row r="7" spans="1:12" hidden="1" x14ac:dyDescent="0.25">
      <c r="A7" t="s">
        <v>179</v>
      </c>
      <c r="B7" t="s">
        <v>192</v>
      </c>
      <c r="C7" cm="1">
        <f t="array" ref="C7">_xlfn.XLOOKUP(1,(LightSpec[Location]=Table2[[#This Row],[lookup Room]]) * (LightSpec[DiagNo]=Table2[[#This Row],[lookup Device]]), LightSpec[startinput])</f>
        <v>0</v>
      </c>
      <c r="D7" t="s">
        <v>445</v>
      </c>
      <c r="E7" t="s">
        <v>500</v>
      </c>
      <c r="F7" t="str" cm="1">
        <f t="array" aca="1" ref="F7" ca="1">_xlfn.LET(
  _xlpm.txt, _xlfn.XLOOKUP(1,(LightSpec[Location]=Table2[[#This Row],[lookup Room]]) * (LightSpec[DiagNo]=Table2[[#This Row],[lookup Device]]),LightSpec[From]),
  _xlpm.n, LEN(_xlpm.txt),
  _xlpm.pos, MATCH(FALSE, ISNUMBER(MID(_xlpm.txt, ROW(INDIRECT("2:" &amp; _xlpm.n)), 1)*1), 0),
  LEFT(_xlpm.txt, _xlpm.pos)
)</f>
        <v>D1</v>
      </c>
      <c r="G7">
        <f>_xlfn.XLOOKUP(Table2[[#This Row],[Trigger]],SwitchButtons[switch],SwitchButtons[input])+Table2[[#This Row],[start]]</f>
        <v>0</v>
      </c>
      <c r="H7" t="s">
        <v>555</v>
      </c>
      <c r="I7" t="str">
        <f>_xlfn.XLOOKUP(Table2[[#This Row],[set1]],circuitoutputs[circuit],circuitoutputs[device])</f>
        <v>D3</v>
      </c>
      <c r="J7">
        <f>_xlfn.XLOOKUP(Table2[[#This Row],[set1]],circuitoutputs[circuit],circuitoutputs[output])</f>
        <v>1</v>
      </c>
      <c r="K7" t="s">
        <v>494</v>
      </c>
    </row>
    <row r="8" spans="1:12" hidden="1" x14ac:dyDescent="0.25">
      <c r="A8" t="s">
        <v>179</v>
      </c>
      <c r="B8" t="s">
        <v>192</v>
      </c>
      <c r="C8" cm="1">
        <f t="array" ref="C8">_xlfn.XLOOKUP(1,(LightSpec[Location]=Table2[[#This Row],[lookup Room]]) * (LightSpec[DiagNo]=Table2[[#This Row],[lookup Device]]), LightSpec[startinput])</f>
        <v>0</v>
      </c>
      <c r="D8" t="s">
        <v>445</v>
      </c>
      <c r="E8" t="s">
        <v>503</v>
      </c>
      <c r="F8" t="str" cm="1">
        <f t="array" aca="1" ref="F8" ca="1">_xlfn.LET(
  _xlpm.txt, _xlfn.XLOOKUP(1,(LightSpec[Location]=Table2[[#This Row],[lookup Room]]) * (LightSpec[DiagNo]=Table2[[#This Row],[lookup Device]]),LightSpec[From]),
  _xlpm.n, LEN(_xlpm.txt),
  _xlpm.pos, MATCH(FALSE, ISNUMBER(MID(_xlpm.txt, ROW(INDIRECT("2:" &amp; _xlpm.n)), 1)*1), 0),
  LEFT(_xlpm.txt, _xlpm.pos)
)</f>
        <v>D1</v>
      </c>
      <c r="G8">
        <f>_xlfn.XLOOKUP(Table2[[#This Row],[Trigger]],SwitchButtons[switch],SwitchButtons[input])+Table2[[#This Row],[start]]</f>
        <v>0</v>
      </c>
      <c r="H8" t="s">
        <v>516</v>
      </c>
      <c r="I8" t="str">
        <f>_xlfn.XLOOKUP(Table2[[#This Row],[set1]],circuitoutputs[circuit],circuitoutputs[device])</f>
        <v>D1</v>
      </c>
      <c r="J8">
        <f>_xlfn.XLOOKUP(Table2[[#This Row],[set1]],circuitoutputs[circuit],circuitoutputs[output])</f>
        <v>0</v>
      </c>
      <c r="K8" t="s">
        <v>596</v>
      </c>
    </row>
    <row r="9" spans="1:12" hidden="1" x14ac:dyDescent="0.25">
      <c r="A9" t="s">
        <v>179</v>
      </c>
      <c r="B9" t="s">
        <v>192</v>
      </c>
      <c r="C9" cm="1">
        <f t="array" ref="C9">_xlfn.XLOOKUP(1,(LightSpec[Location]=Table2[[#This Row],[lookup Room]]) * (LightSpec[DiagNo]=Table2[[#This Row],[lookup Device]]), LightSpec[startinput])</f>
        <v>0</v>
      </c>
      <c r="D9" t="s">
        <v>445</v>
      </c>
      <c r="E9" t="s">
        <v>503</v>
      </c>
      <c r="F9" t="str" cm="1">
        <f t="array" aca="1" ref="F9" ca="1">_xlfn.LET(
  _xlpm.txt, _xlfn.XLOOKUP(1,(LightSpec[Location]=Table2[[#This Row],[lookup Room]]) * (LightSpec[DiagNo]=Table2[[#This Row],[lookup Device]]),LightSpec[From]),
  _xlpm.n, LEN(_xlpm.txt),
  _xlpm.pos, MATCH(FALSE, ISNUMBER(MID(_xlpm.txt, ROW(INDIRECT("2:" &amp; _xlpm.n)), 1)*1), 0),
  LEFT(_xlpm.txt, _xlpm.pos)
)</f>
        <v>D1</v>
      </c>
      <c r="G9">
        <f>_xlfn.XLOOKUP(Table2[[#This Row],[Trigger]],SwitchButtons[switch],SwitchButtons[input])+Table2[[#This Row],[start]]</f>
        <v>0</v>
      </c>
      <c r="H9" t="s">
        <v>553</v>
      </c>
      <c r="I9" t="str">
        <f>_xlfn.XLOOKUP(Table2[[#This Row],[set1]],circuitoutputs[circuit],circuitoutputs[device])</f>
        <v>D1</v>
      </c>
      <c r="J9">
        <f>_xlfn.XLOOKUP(Table2[[#This Row],[set1]],circuitoutputs[circuit],circuitoutputs[output])</f>
        <v>1</v>
      </c>
      <c r="K9" t="s">
        <v>596</v>
      </c>
    </row>
    <row r="10" spans="1:12" hidden="1" x14ac:dyDescent="0.25">
      <c r="A10" t="s">
        <v>179</v>
      </c>
      <c r="B10" t="s">
        <v>192</v>
      </c>
      <c r="C10" cm="1">
        <f t="array" ref="C10">_xlfn.XLOOKUP(1,(LightSpec[Location]=Table2[[#This Row],[lookup Room]]) * (LightSpec[DiagNo]=Table2[[#This Row],[lookup Device]]), LightSpec[startinput])</f>
        <v>0</v>
      </c>
      <c r="D10" t="s">
        <v>445</v>
      </c>
      <c r="E10" t="s">
        <v>503</v>
      </c>
      <c r="F10" t="str" cm="1">
        <f t="array" aca="1" ref="F10" ca="1">_xlfn.LET(
  _xlpm.txt, _xlfn.XLOOKUP(1,(LightSpec[Location]=Table2[[#This Row],[lookup Room]]) * (LightSpec[DiagNo]=Table2[[#This Row],[lookup Device]]),LightSpec[From]),
  _xlpm.n, LEN(_xlpm.txt),
  _xlpm.pos, MATCH(FALSE, ISNUMBER(MID(_xlpm.txt, ROW(INDIRECT("2:" &amp; _xlpm.n)), 1)*1), 0),
  LEFT(_xlpm.txt, _xlpm.pos)
)</f>
        <v>D1</v>
      </c>
      <c r="G10">
        <f>_xlfn.XLOOKUP(Table2[[#This Row],[Trigger]],SwitchButtons[switch],SwitchButtons[input])+Table2[[#This Row],[start]]</f>
        <v>0</v>
      </c>
      <c r="H10" t="s">
        <v>517</v>
      </c>
      <c r="I10" t="str">
        <f>_xlfn.XLOOKUP(Table2[[#This Row],[set1]],circuitoutputs[circuit],circuitoutputs[device])</f>
        <v>D2</v>
      </c>
      <c r="J10">
        <f>_xlfn.XLOOKUP(Table2[[#This Row],[set1]],circuitoutputs[circuit],circuitoutputs[output])</f>
        <v>0</v>
      </c>
      <c r="K10" t="s">
        <v>596</v>
      </c>
    </row>
    <row r="11" spans="1:12" hidden="1" x14ac:dyDescent="0.25">
      <c r="A11" t="s">
        <v>179</v>
      </c>
      <c r="B11" t="s">
        <v>192</v>
      </c>
      <c r="C11" cm="1">
        <f t="array" ref="C11">_xlfn.XLOOKUP(1,(LightSpec[Location]=Table2[[#This Row],[lookup Room]]) * (LightSpec[DiagNo]=Table2[[#This Row],[lookup Device]]), LightSpec[startinput])</f>
        <v>0</v>
      </c>
      <c r="D11" t="s">
        <v>445</v>
      </c>
      <c r="E11" t="s">
        <v>503</v>
      </c>
      <c r="F11" t="str" cm="1">
        <f t="array" aca="1" ref="F11" ca="1">_xlfn.LET(
  _xlpm.txt, _xlfn.XLOOKUP(1,(LightSpec[Location]=Table2[[#This Row],[lookup Room]]) * (LightSpec[DiagNo]=Table2[[#This Row],[lookup Device]]),LightSpec[From]),
  _xlpm.n, LEN(_xlpm.txt),
  _xlpm.pos, MATCH(FALSE, ISNUMBER(MID(_xlpm.txt, ROW(INDIRECT("2:" &amp; _xlpm.n)), 1)*1), 0),
  LEFT(_xlpm.txt, _xlpm.pos)
)</f>
        <v>D1</v>
      </c>
      <c r="G11">
        <f>_xlfn.XLOOKUP(Table2[[#This Row],[Trigger]],SwitchButtons[switch],SwitchButtons[input])+Table2[[#This Row],[start]]</f>
        <v>0</v>
      </c>
      <c r="H11" t="s">
        <v>554</v>
      </c>
      <c r="I11" t="str">
        <f>_xlfn.XLOOKUP(Table2[[#This Row],[set1]],circuitoutputs[circuit],circuitoutputs[device])</f>
        <v>D2</v>
      </c>
      <c r="J11">
        <f>_xlfn.XLOOKUP(Table2[[#This Row],[set1]],circuitoutputs[circuit],circuitoutputs[output])</f>
        <v>1</v>
      </c>
      <c r="K11" t="s">
        <v>596</v>
      </c>
    </row>
    <row r="12" spans="1:12" hidden="1" x14ac:dyDescent="0.25">
      <c r="A12" t="s">
        <v>179</v>
      </c>
      <c r="B12" t="s">
        <v>192</v>
      </c>
      <c r="C12" cm="1">
        <f t="array" ref="C12">_xlfn.XLOOKUP(1,(LightSpec[Location]=Table2[[#This Row],[lookup Room]]) * (LightSpec[DiagNo]=Table2[[#This Row],[lookup Device]]), LightSpec[startinput])</f>
        <v>0</v>
      </c>
      <c r="D12" t="s">
        <v>445</v>
      </c>
      <c r="E12" t="s">
        <v>503</v>
      </c>
      <c r="F12" t="str" cm="1">
        <f t="array" aca="1" ref="F12" ca="1">_xlfn.LET(
  _xlpm.txt, _xlfn.XLOOKUP(1,(LightSpec[Location]=Table2[[#This Row],[lookup Room]]) * (LightSpec[DiagNo]=Table2[[#This Row],[lookup Device]]),LightSpec[From]),
  _xlpm.n, LEN(_xlpm.txt),
  _xlpm.pos, MATCH(FALSE, ISNUMBER(MID(_xlpm.txt, ROW(INDIRECT("2:" &amp; _xlpm.n)), 1)*1), 0),
  LEFT(_xlpm.txt, _xlpm.pos)
)</f>
        <v>D1</v>
      </c>
      <c r="G12">
        <f>_xlfn.XLOOKUP(Table2[[#This Row],[Trigger]],SwitchButtons[switch],SwitchButtons[input])+Table2[[#This Row],[start]]</f>
        <v>0</v>
      </c>
      <c r="H12" t="s">
        <v>518</v>
      </c>
      <c r="I12" t="str">
        <f>_xlfn.XLOOKUP(Table2[[#This Row],[set1]],circuitoutputs[circuit],circuitoutputs[device])</f>
        <v>D3</v>
      </c>
      <c r="J12">
        <f>_xlfn.XLOOKUP(Table2[[#This Row],[set1]],circuitoutputs[circuit],circuitoutputs[output])</f>
        <v>0</v>
      </c>
      <c r="K12" t="s">
        <v>596</v>
      </c>
    </row>
    <row r="13" spans="1:12" hidden="1" x14ac:dyDescent="0.25">
      <c r="A13" t="s">
        <v>179</v>
      </c>
      <c r="B13" t="s">
        <v>192</v>
      </c>
      <c r="C13" cm="1">
        <f t="array" ref="C13">_xlfn.XLOOKUP(1,(LightSpec[Location]=Table2[[#This Row],[lookup Room]]) * (LightSpec[DiagNo]=Table2[[#This Row],[lookup Device]]), LightSpec[startinput])</f>
        <v>0</v>
      </c>
      <c r="D13" t="s">
        <v>445</v>
      </c>
      <c r="E13" t="s">
        <v>503</v>
      </c>
      <c r="F13" t="str" cm="1">
        <f t="array" aca="1" ref="F13" ca="1">_xlfn.LET(
  _xlpm.txt, _xlfn.XLOOKUP(1,(LightSpec[Location]=Table2[[#This Row],[lookup Room]]) * (LightSpec[DiagNo]=Table2[[#This Row],[lookup Device]]),LightSpec[From]),
  _xlpm.n, LEN(_xlpm.txt),
  _xlpm.pos, MATCH(FALSE, ISNUMBER(MID(_xlpm.txt, ROW(INDIRECT("2:" &amp; _xlpm.n)), 1)*1), 0),
  LEFT(_xlpm.txt, _xlpm.pos)
)</f>
        <v>D1</v>
      </c>
      <c r="G13">
        <f>_xlfn.XLOOKUP(Table2[[#This Row],[Trigger]],SwitchButtons[switch],SwitchButtons[input])+Table2[[#This Row],[start]]</f>
        <v>0</v>
      </c>
      <c r="H13" t="s">
        <v>555</v>
      </c>
      <c r="I13" t="str">
        <f>_xlfn.XLOOKUP(Table2[[#This Row],[set1]],circuitoutputs[circuit],circuitoutputs[device])</f>
        <v>D3</v>
      </c>
      <c r="J13">
        <f>_xlfn.XLOOKUP(Table2[[#This Row],[set1]],circuitoutputs[circuit],circuitoutputs[output])</f>
        <v>1</v>
      </c>
      <c r="K13" t="s">
        <v>596</v>
      </c>
    </row>
    <row r="14" spans="1:12" x14ac:dyDescent="0.25">
      <c r="A14" t="s">
        <v>179</v>
      </c>
      <c r="B14" t="s">
        <v>192</v>
      </c>
      <c r="C14" cm="1">
        <f t="array" ref="C14">_xlfn.XLOOKUP(1,(LightSpec[Location]=Table2[[#This Row],[lookup Room]]) * (LightSpec[DiagNo]=Table2[[#This Row],[lookup Device]]), LightSpec[startinput])</f>
        <v>0</v>
      </c>
      <c r="D14" t="s">
        <v>445</v>
      </c>
      <c r="E14" t="s">
        <v>503</v>
      </c>
      <c r="F14" t="str" cm="1">
        <f t="array" aca="1" ref="F14" ca="1">_xlfn.LET(
  _xlpm.txt, _xlfn.XLOOKUP(1,(LightSpec[Location]=Table2[[#This Row],[lookup Room]]) * (LightSpec[DiagNo]=Table2[[#This Row],[lookup Device]]),LightSpec[From]),
  _xlpm.n, LEN(_xlpm.txt),
  _xlpm.pos, MATCH(FALSE, ISNUMBER(MID(_xlpm.txt, ROW(INDIRECT("2:" &amp; _xlpm.n)), 1)*1), 0),
  LEFT(_xlpm.txt, _xlpm.pos)
)</f>
        <v>D1</v>
      </c>
      <c r="G14">
        <f>_xlfn.XLOOKUP(Table2[[#This Row],[Trigger]],SwitchButtons[switch],SwitchButtons[input])+Table2[[#This Row],[start]]</f>
        <v>0</v>
      </c>
      <c r="H14" t="s">
        <v>547</v>
      </c>
      <c r="I14" t="str">
        <f>_xlfn.XLOOKUP(Table2[[#This Row],[set1]],circuitoutputs[circuit],circuitoutputs[device])</f>
        <v>P1</v>
      </c>
      <c r="J14">
        <f>_xlfn.XLOOKUP(Table2[[#This Row],[set1]],circuitoutputs[circuit],circuitoutputs[output])</f>
        <v>1</v>
      </c>
      <c r="K14" t="s">
        <v>419</v>
      </c>
    </row>
    <row r="15" spans="1:12" hidden="1" x14ac:dyDescent="0.25">
      <c r="A15" t="s">
        <v>179</v>
      </c>
      <c r="B15" t="s">
        <v>192</v>
      </c>
      <c r="C15" cm="1">
        <f t="array" ref="C15">_xlfn.XLOOKUP(1,(LightSpec[Location]=Table2[[#This Row],[lookup Room]]) * (LightSpec[DiagNo]=Table2[[#This Row],[lookup Device]]), LightSpec[startinput])</f>
        <v>0</v>
      </c>
      <c r="D15" t="s">
        <v>446</v>
      </c>
      <c r="E15" t="s">
        <v>500</v>
      </c>
      <c r="F15" t="str" cm="1">
        <f t="array" aca="1" ref="F15" ca="1">_xlfn.LET(
  _xlpm.txt, _xlfn.XLOOKUP(1,(LightSpec[Location]=Table2[[#This Row],[lookup Room]]) * (LightSpec[DiagNo]=Table2[[#This Row],[lookup Device]]),LightSpec[From]),
  _xlpm.n, LEN(_xlpm.txt),
  _xlpm.pos, MATCH(FALSE, ISNUMBER(MID(_xlpm.txt, ROW(INDIRECT("2:" &amp; _xlpm.n)), 1)*1), 0),
  LEFT(_xlpm.txt, _xlpm.pos)
)</f>
        <v>D1</v>
      </c>
      <c r="G15">
        <f>_xlfn.XLOOKUP(Table2[[#This Row],[Trigger]],SwitchButtons[switch],SwitchButtons[input])+Table2[[#This Row],[start]]</f>
        <v>1</v>
      </c>
      <c r="H15" t="s">
        <v>516</v>
      </c>
      <c r="I15" t="str">
        <f>_xlfn.XLOOKUP(Table2[[#This Row],[set1]],circuitoutputs[circuit],circuitoutputs[device])</f>
        <v>D1</v>
      </c>
      <c r="J15">
        <f>_xlfn.XLOOKUP(Table2[[#This Row],[set1]],circuitoutputs[circuit],circuitoutputs[output])</f>
        <v>0</v>
      </c>
      <c r="K15" t="s">
        <v>495</v>
      </c>
    </row>
    <row r="16" spans="1:12" hidden="1" x14ac:dyDescent="0.25">
      <c r="A16" t="s">
        <v>179</v>
      </c>
      <c r="B16" t="s">
        <v>192</v>
      </c>
      <c r="C16" cm="1">
        <f t="array" ref="C16">_xlfn.XLOOKUP(1,(LightSpec[Location]=Table2[[#This Row],[lookup Room]]) * (LightSpec[DiagNo]=Table2[[#This Row],[lookup Device]]), LightSpec[startinput])</f>
        <v>0</v>
      </c>
      <c r="D16" t="s">
        <v>446</v>
      </c>
      <c r="E16" t="s">
        <v>500</v>
      </c>
      <c r="F16" t="str" cm="1">
        <f t="array" aca="1" ref="F16" ca="1">_xlfn.LET(
  _xlpm.txt, _xlfn.XLOOKUP(1,(LightSpec[Location]=Table2[[#This Row],[lookup Room]]) * (LightSpec[DiagNo]=Table2[[#This Row],[lookup Device]]),LightSpec[From]),
  _xlpm.n, LEN(_xlpm.txt),
  _xlpm.pos, MATCH(FALSE, ISNUMBER(MID(_xlpm.txt, ROW(INDIRECT("2:" &amp; _xlpm.n)), 1)*1), 0),
  LEFT(_xlpm.txt, _xlpm.pos)
)</f>
        <v>D1</v>
      </c>
      <c r="G16">
        <f>_xlfn.XLOOKUP(Table2[[#This Row],[Trigger]],SwitchButtons[switch],SwitchButtons[input])+Table2[[#This Row],[start]]</f>
        <v>1</v>
      </c>
      <c r="H16" t="s">
        <v>553</v>
      </c>
      <c r="I16" t="str">
        <f>_xlfn.XLOOKUP(Table2[[#This Row],[set1]],circuitoutputs[circuit],circuitoutputs[device])</f>
        <v>D1</v>
      </c>
      <c r="J16">
        <f>_xlfn.XLOOKUP(Table2[[#This Row],[set1]],circuitoutputs[circuit],circuitoutputs[output])</f>
        <v>1</v>
      </c>
      <c r="K16" t="s">
        <v>495</v>
      </c>
    </row>
    <row r="17" spans="1:11" hidden="1" x14ac:dyDescent="0.25">
      <c r="A17" t="s">
        <v>179</v>
      </c>
      <c r="B17" t="s">
        <v>192</v>
      </c>
      <c r="C17" cm="1">
        <f t="array" ref="C17">_xlfn.XLOOKUP(1,(LightSpec[Location]=Table2[[#This Row],[lookup Room]]) * (LightSpec[DiagNo]=Table2[[#This Row],[lookup Device]]), LightSpec[startinput])</f>
        <v>0</v>
      </c>
      <c r="D17" t="s">
        <v>446</v>
      </c>
      <c r="E17" t="s">
        <v>500</v>
      </c>
      <c r="F17" t="str" cm="1">
        <f t="array" aca="1" ref="F17" ca="1">_xlfn.LET(
  _xlpm.txt, _xlfn.XLOOKUP(1,(LightSpec[Location]=Table2[[#This Row],[lookup Room]]) * (LightSpec[DiagNo]=Table2[[#This Row],[lookup Device]]),LightSpec[From]),
  _xlpm.n, LEN(_xlpm.txt),
  _xlpm.pos, MATCH(FALSE, ISNUMBER(MID(_xlpm.txt, ROW(INDIRECT("2:" &amp; _xlpm.n)), 1)*1), 0),
  LEFT(_xlpm.txt, _xlpm.pos)
)</f>
        <v>D1</v>
      </c>
      <c r="G17">
        <f>_xlfn.XLOOKUP(Table2[[#This Row],[Trigger]],SwitchButtons[switch],SwitchButtons[input])+Table2[[#This Row],[start]]</f>
        <v>1</v>
      </c>
      <c r="H17" t="s">
        <v>517</v>
      </c>
      <c r="I17" t="str">
        <f>_xlfn.XLOOKUP(Table2[[#This Row],[set1]],circuitoutputs[circuit],circuitoutputs[device])</f>
        <v>D2</v>
      </c>
      <c r="J17">
        <f>_xlfn.XLOOKUP(Table2[[#This Row],[set1]],circuitoutputs[circuit],circuitoutputs[output])</f>
        <v>0</v>
      </c>
      <c r="K17" t="s">
        <v>495</v>
      </c>
    </row>
    <row r="18" spans="1:11" hidden="1" x14ac:dyDescent="0.25">
      <c r="A18" t="s">
        <v>179</v>
      </c>
      <c r="B18" t="s">
        <v>192</v>
      </c>
      <c r="C18" cm="1">
        <f t="array" ref="C18">_xlfn.XLOOKUP(1,(LightSpec[Location]=Table2[[#This Row],[lookup Room]]) * (LightSpec[DiagNo]=Table2[[#This Row],[lookup Device]]), LightSpec[startinput])</f>
        <v>0</v>
      </c>
      <c r="D18" t="s">
        <v>446</v>
      </c>
      <c r="E18" t="s">
        <v>500</v>
      </c>
      <c r="F18" t="str" cm="1">
        <f t="array" aca="1" ref="F18" ca="1">_xlfn.LET(
  _xlpm.txt, _xlfn.XLOOKUP(1,(LightSpec[Location]=Table2[[#This Row],[lookup Room]]) * (LightSpec[DiagNo]=Table2[[#This Row],[lookup Device]]),LightSpec[From]),
  _xlpm.n, LEN(_xlpm.txt),
  _xlpm.pos, MATCH(FALSE, ISNUMBER(MID(_xlpm.txt, ROW(INDIRECT("2:" &amp; _xlpm.n)), 1)*1), 0),
  LEFT(_xlpm.txt, _xlpm.pos)
)</f>
        <v>D1</v>
      </c>
      <c r="G18">
        <f>_xlfn.XLOOKUP(Table2[[#This Row],[Trigger]],SwitchButtons[switch],SwitchButtons[input])+Table2[[#This Row],[start]]</f>
        <v>1</v>
      </c>
      <c r="H18" t="s">
        <v>554</v>
      </c>
      <c r="I18" t="str">
        <f>_xlfn.XLOOKUP(Table2[[#This Row],[set1]],circuitoutputs[circuit],circuitoutputs[device])</f>
        <v>D2</v>
      </c>
      <c r="J18">
        <f>_xlfn.XLOOKUP(Table2[[#This Row],[set1]],circuitoutputs[circuit],circuitoutputs[output])</f>
        <v>1</v>
      </c>
      <c r="K18" t="s">
        <v>495</v>
      </c>
    </row>
    <row r="19" spans="1:11" hidden="1" x14ac:dyDescent="0.25">
      <c r="A19" t="s">
        <v>179</v>
      </c>
      <c r="B19" t="s">
        <v>192</v>
      </c>
      <c r="C19" cm="1">
        <f t="array" ref="C19">_xlfn.XLOOKUP(1,(LightSpec[Location]=Table2[[#This Row],[lookup Room]]) * (LightSpec[DiagNo]=Table2[[#This Row],[lookup Device]]), LightSpec[startinput])</f>
        <v>0</v>
      </c>
      <c r="D19" t="s">
        <v>446</v>
      </c>
      <c r="E19" t="s">
        <v>500</v>
      </c>
      <c r="F19" t="str" cm="1">
        <f t="array" aca="1" ref="F19" ca="1">_xlfn.LET(
  _xlpm.txt, _xlfn.XLOOKUP(1,(LightSpec[Location]=Table2[[#This Row],[lookup Room]]) * (LightSpec[DiagNo]=Table2[[#This Row],[lookup Device]]),LightSpec[From]),
  _xlpm.n, LEN(_xlpm.txt),
  _xlpm.pos, MATCH(FALSE, ISNUMBER(MID(_xlpm.txt, ROW(INDIRECT("2:" &amp; _xlpm.n)), 1)*1), 0),
  LEFT(_xlpm.txt, _xlpm.pos)
)</f>
        <v>D1</v>
      </c>
      <c r="G19">
        <f>_xlfn.XLOOKUP(Table2[[#This Row],[Trigger]],SwitchButtons[switch],SwitchButtons[input])+Table2[[#This Row],[start]]</f>
        <v>1</v>
      </c>
      <c r="H19" t="s">
        <v>518</v>
      </c>
      <c r="I19" t="str">
        <f>_xlfn.XLOOKUP(Table2[[#This Row],[set1]],circuitoutputs[circuit],circuitoutputs[device])</f>
        <v>D3</v>
      </c>
      <c r="J19">
        <f>_xlfn.XLOOKUP(Table2[[#This Row],[set1]],circuitoutputs[circuit],circuitoutputs[output])</f>
        <v>0</v>
      </c>
      <c r="K19" t="s">
        <v>495</v>
      </c>
    </row>
    <row r="20" spans="1:11" hidden="1" x14ac:dyDescent="0.25">
      <c r="A20" t="s">
        <v>179</v>
      </c>
      <c r="B20" t="s">
        <v>192</v>
      </c>
      <c r="C20" cm="1">
        <f t="array" ref="C20">_xlfn.XLOOKUP(1,(LightSpec[Location]=Table2[[#This Row],[lookup Room]]) * (LightSpec[DiagNo]=Table2[[#This Row],[lookup Device]]), LightSpec[startinput])</f>
        <v>0</v>
      </c>
      <c r="D20" t="s">
        <v>446</v>
      </c>
      <c r="E20" t="s">
        <v>500</v>
      </c>
      <c r="F20" t="str" cm="1">
        <f t="array" aca="1" ref="F20" ca="1">_xlfn.LET(
  _xlpm.txt, _xlfn.XLOOKUP(1,(LightSpec[Location]=Table2[[#This Row],[lookup Room]]) * (LightSpec[DiagNo]=Table2[[#This Row],[lookup Device]]),LightSpec[From]),
  _xlpm.n, LEN(_xlpm.txt),
  _xlpm.pos, MATCH(FALSE, ISNUMBER(MID(_xlpm.txt, ROW(INDIRECT("2:" &amp; _xlpm.n)), 1)*1), 0),
  LEFT(_xlpm.txt, _xlpm.pos)
)</f>
        <v>D1</v>
      </c>
      <c r="G20">
        <f>_xlfn.XLOOKUP(Table2[[#This Row],[Trigger]],SwitchButtons[switch],SwitchButtons[input])+Table2[[#This Row],[start]]</f>
        <v>1</v>
      </c>
      <c r="H20" t="s">
        <v>555</v>
      </c>
      <c r="I20" t="str">
        <f>_xlfn.XLOOKUP(Table2[[#This Row],[set1]],circuitoutputs[circuit],circuitoutputs[device])</f>
        <v>D3</v>
      </c>
      <c r="J20">
        <f>_xlfn.XLOOKUP(Table2[[#This Row],[set1]],circuitoutputs[circuit],circuitoutputs[output])</f>
        <v>1</v>
      </c>
      <c r="K20" t="s">
        <v>495</v>
      </c>
    </row>
    <row r="21" spans="1:11" x14ac:dyDescent="0.25">
      <c r="A21" t="s">
        <v>179</v>
      </c>
      <c r="B21" t="s">
        <v>192</v>
      </c>
      <c r="C21" cm="1">
        <f t="array" ref="C21">_xlfn.XLOOKUP(1,(LightSpec[Location]=Table2[[#This Row],[lookup Room]]) * (LightSpec[DiagNo]=Table2[[#This Row],[lookup Device]]), LightSpec[startinput])</f>
        <v>0</v>
      </c>
      <c r="D21" t="s">
        <v>447</v>
      </c>
      <c r="E21" t="s">
        <v>500</v>
      </c>
      <c r="F21" t="str" cm="1">
        <f t="array" aca="1" ref="F21" ca="1">_xlfn.LET(
  _xlpm.txt, _xlfn.XLOOKUP(1,(LightSpec[Location]=Table2[[#This Row],[lookup Room]]) * (LightSpec[DiagNo]=Table2[[#This Row],[lookup Device]]),LightSpec[From]),
  _xlpm.n, LEN(_xlpm.txt),
  _xlpm.pos, MATCH(FALSE, ISNUMBER(MID(_xlpm.txt, ROW(INDIRECT("2:" &amp; _xlpm.n)), 1)*1), 0),
  LEFT(_xlpm.txt, _xlpm.pos)
)</f>
        <v>D1</v>
      </c>
      <c r="G21">
        <f>_xlfn.XLOOKUP(Table2[[#This Row],[Trigger]],SwitchButtons[switch],SwitchButtons[input])+Table2[[#This Row],[start]]</f>
        <v>2</v>
      </c>
      <c r="H21" t="s">
        <v>547</v>
      </c>
      <c r="I21" t="str">
        <f>_xlfn.XLOOKUP(Table2[[#This Row],[set1]],circuitoutputs[circuit],circuitoutputs[device])</f>
        <v>P1</v>
      </c>
      <c r="J21">
        <f>_xlfn.XLOOKUP(Table2[[#This Row],[set1]],circuitoutputs[circuit],circuitoutputs[output])</f>
        <v>1</v>
      </c>
      <c r="K21" t="s">
        <v>419</v>
      </c>
    </row>
    <row r="22" spans="1:11" x14ac:dyDescent="0.25">
      <c r="A22" t="s">
        <v>179</v>
      </c>
      <c r="B22" t="s">
        <v>192</v>
      </c>
      <c r="C22" cm="1">
        <f t="array" ref="C22">_xlfn.XLOOKUP(1,(LightSpec[Location]=Table2[[#This Row],[lookup Room]]) * (LightSpec[DiagNo]=Table2[[#This Row],[lookup Device]]), LightSpec[startinput])</f>
        <v>0</v>
      </c>
      <c r="D22" t="s">
        <v>447</v>
      </c>
      <c r="E22" t="s">
        <v>500</v>
      </c>
      <c r="F22" t="str" cm="1">
        <f t="array" aca="1" ref="F22" ca="1">_xlfn.LET(
  _xlpm.txt, _xlfn.XLOOKUP(1,(LightSpec[Location]=Table2[[#This Row],[lookup Room]]) * (LightSpec[DiagNo]=Table2[[#This Row],[lookup Device]]),LightSpec[From]),
  _xlpm.n, LEN(_xlpm.txt),
  _xlpm.pos, MATCH(FALSE, ISNUMBER(MID(_xlpm.txt, ROW(INDIRECT("2:" &amp; _xlpm.n)), 1)*1), 0),
  LEFT(_xlpm.txt, _xlpm.pos)
)</f>
        <v>D1</v>
      </c>
      <c r="G22">
        <f>_xlfn.XLOOKUP(Table2[[#This Row],[Trigger]],SwitchButtons[switch],SwitchButtons[input])+Table2[[#This Row],[start]]</f>
        <v>2</v>
      </c>
      <c r="H22" t="s">
        <v>577</v>
      </c>
      <c r="I22" t="str">
        <f>_xlfn.XLOOKUP(Table2[[#This Row],[set1]],circuitoutputs[circuit],circuitoutputs[device])</f>
        <v>P1</v>
      </c>
      <c r="J22">
        <f>_xlfn.XLOOKUP(Table2[[#This Row],[set1]],circuitoutputs[circuit],circuitoutputs[output])</f>
        <v>2</v>
      </c>
      <c r="K22" t="s">
        <v>419</v>
      </c>
    </row>
    <row r="23" spans="1:11" x14ac:dyDescent="0.25">
      <c r="A23" t="s">
        <v>179</v>
      </c>
      <c r="B23" t="s">
        <v>192</v>
      </c>
      <c r="C23" cm="1">
        <f t="array" ref="C23">_xlfn.XLOOKUP(1,(LightSpec[Location]=Table2[[#This Row],[lookup Room]]) * (LightSpec[DiagNo]=Table2[[#This Row],[lookup Device]]), LightSpec[startinput])</f>
        <v>0</v>
      </c>
      <c r="D23" t="s">
        <v>448</v>
      </c>
      <c r="E23" t="s">
        <v>500</v>
      </c>
      <c r="F23" t="str" cm="1">
        <f t="array" aca="1" ref="F23" ca="1">_xlfn.LET(
  _xlpm.txt, _xlfn.XLOOKUP(1,(LightSpec[Location]=Table2[[#This Row],[lookup Room]]) * (LightSpec[DiagNo]=Table2[[#This Row],[lookup Device]]),LightSpec[From]),
  _xlpm.n, LEN(_xlpm.txt),
  _xlpm.pos, MATCH(FALSE, ISNUMBER(MID(_xlpm.txt, ROW(INDIRECT("2:" &amp; _xlpm.n)), 1)*1), 0),
  LEFT(_xlpm.txt, _xlpm.pos)
)</f>
        <v>D1</v>
      </c>
      <c r="G23">
        <f>_xlfn.XLOOKUP(Table2[[#This Row],[Trigger]],SwitchButtons[switch],SwitchButtons[input])+Table2[[#This Row],[start]]</f>
        <v>3</v>
      </c>
      <c r="H23" t="s">
        <v>547</v>
      </c>
      <c r="I23" t="str">
        <f>_xlfn.XLOOKUP(Table2[[#This Row],[set1]],circuitoutputs[circuit],circuitoutputs[device])</f>
        <v>P1</v>
      </c>
      <c r="J23">
        <f>_xlfn.XLOOKUP(Table2[[#This Row],[set1]],circuitoutputs[circuit],circuitoutputs[output])</f>
        <v>1</v>
      </c>
      <c r="K23" t="s">
        <v>495</v>
      </c>
    </row>
    <row r="24" spans="1:11" x14ac:dyDescent="0.25">
      <c r="A24" t="s">
        <v>179</v>
      </c>
      <c r="B24" t="s">
        <v>192</v>
      </c>
      <c r="C24" cm="1">
        <f t="array" ref="C24">_xlfn.XLOOKUP(1,(LightSpec[Location]=Table2[[#This Row],[lookup Room]]) * (LightSpec[DiagNo]=Table2[[#This Row],[lookup Device]]), LightSpec[startinput])</f>
        <v>0</v>
      </c>
      <c r="D24" t="s">
        <v>448</v>
      </c>
      <c r="E24" t="s">
        <v>500</v>
      </c>
      <c r="F24" t="str" cm="1">
        <f t="array" aca="1" ref="F24" ca="1">_xlfn.LET(
  _xlpm.txt, _xlfn.XLOOKUP(1,(LightSpec[Location]=Table2[[#This Row],[lookup Room]]) * (LightSpec[DiagNo]=Table2[[#This Row],[lookup Device]]),LightSpec[From]),
  _xlpm.n, LEN(_xlpm.txt),
  _xlpm.pos, MATCH(FALSE, ISNUMBER(MID(_xlpm.txt, ROW(INDIRECT("2:" &amp; _xlpm.n)), 1)*1), 0),
  LEFT(_xlpm.txt, _xlpm.pos)
)</f>
        <v>D1</v>
      </c>
      <c r="G24">
        <f>_xlfn.XLOOKUP(Table2[[#This Row],[Trigger]],SwitchButtons[switch],SwitchButtons[input])+Table2[[#This Row],[start]]</f>
        <v>3</v>
      </c>
      <c r="H24" t="s">
        <v>577</v>
      </c>
      <c r="I24" t="str">
        <f>_xlfn.XLOOKUP(Table2[[#This Row],[set1]],circuitoutputs[circuit],circuitoutputs[device])</f>
        <v>P1</v>
      </c>
      <c r="J24">
        <f>_xlfn.XLOOKUP(Table2[[#This Row],[set1]],circuitoutputs[circuit],circuitoutputs[output])</f>
        <v>2</v>
      </c>
      <c r="K24" t="s">
        <v>495</v>
      </c>
    </row>
    <row r="25" spans="1:11" hidden="1" x14ac:dyDescent="0.25">
      <c r="A25" t="s">
        <v>179</v>
      </c>
      <c r="B25" t="s">
        <v>193</v>
      </c>
      <c r="C25" cm="1">
        <f t="array" ref="C25">_xlfn.XLOOKUP(1,(LightSpec[Location]=Table2[[#This Row],[lookup Room]]) * (LightSpec[DiagNo]=Table2[[#This Row],[lookup Device]]), LightSpec[startinput])</f>
        <v>0</v>
      </c>
      <c r="D25" t="s">
        <v>445</v>
      </c>
      <c r="E25" t="s">
        <v>500</v>
      </c>
      <c r="F25" t="str" cm="1">
        <f t="array" aca="1" ref="F25" ca="1">_xlfn.LET(
  _xlpm.txt, _xlfn.XLOOKUP(1,(LightSpec[Location]=Table2[[#This Row],[lookup Room]]) * (LightSpec[DiagNo]=Table2[[#This Row],[lookup Device]]),LightSpec[From]),
  _xlpm.n, LEN(_xlpm.txt),
  _xlpm.pos, MATCH(FALSE, ISNUMBER(MID(_xlpm.txt, ROW(INDIRECT("2:" &amp; _xlpm.n)), 1)*1), 0),
  LEFT(_xlpm.txt, _xlpm.pos)
)</f>
        <v>D2</v>
      </c>
      <c r="G25">
        <f>_xlfn.XLOOKUP(Table2[[#This Row],[Trigger]],SwitchButtons[switch],SwitchButtons[input])+Table2[[#This Row],[start]]</f>
        <v>0</v>
      </c>
      <c r="H25" t="s">
        <v>516</v>
      </c>
      <c r="I25" t="str">
        <f>_xlfn.XLOOKUP(Table2[[#This Row],[set1]],circuitoutputs[circuit],circuitoutputs[device])</f>
        <v>D1</v>
      </c>
      <c r="J25">
        <f>_xlfn.XLOOKUP(Table2[[#This Row],[set1]],circuitoutputs[circuit],circuitoutputs[output])</f>
        <v>0</v>
      </c>
      <c r="K25" t="s">
        <v>494</v>
      </c>
    </row>
    <row r="26" spans="1:11" hidden="1" x14ac:dyDescent="0.25">
      <c r="A26" t="s">
        <v>179</v>
      </c>
      <c r="B26" t="s">
        <v>193</v>
      </c>
      <c r="C26" cm="1">
        <f t="array" ref="C26">_xlfn.XLOOKUP(1,(LightSpec[Location]=Table2[[#This Row],[lookup Room]]) * (LightSpec[DiagNo]=Table2[[#This Row],[lookup Device]]), LightSpec[startinput])</f>
        <v>0</v>
      </c>
      <c r="D26" t="s">
        <v>445</v>
      </c>
      <c r="E26" t="s">
        <v>500</v>
      </c>
      <c r="F26" t="str" cm="1">
        <f t="array" aca="1" ref="F26" ca="1">_xlfn.LET(
  _xlpm.txt, _xlfn.XLOOKUP(1,(LightSpec[Location]=Table2[[#This Row],[lookup Room]]) * (LightSpec[DiagNo]=Table2[[#This Row],[lookup Device]]),LightSpec[From]),
  _xlpm.n, LEN(_xlpm.txt),
  _xlpm.pos, MATCH(FALSE, ISNUMBER(MID(_xlpm.txt, ROW(INDIRECT("2:" &amp; _xlpm.n)), 1)*1), 0),
  LEFT(_xlpm.txt, _xlpm.pos)
)</f>
        <v>D2</v>
      </c>
      <c r="G26">
        <f>_xlfn.XLOOKUP(Table2[[#This Row],[Trigger]],SwitchButtons[switch],SwitchButtons[input])+Table2[[#This Row],[start]]</f>
        <v>0</v>
      </c>
      <c r="H26" t="s">
        <v>553</v>
      </c>
      <c r="I26" t="str">
        <f>_xlfn.XLOOKUP(Table2[[#This Row],[set1]],circuitoutputs[circuit],circuitoutputs[device])</f>
        <v>D1</v>
      </c>
      <c r="J26">
        <f>_xlfn.XLOOKUP(Table2[[#This Row],[set1]],circuitoutputs[circuit],circuitoutputs[output])</f>
        <v>1</v>
      </c>
      <c r="K26" t="s">
        <v>494</v>
      </c>
    </row>
    <row r="27" spans="1:11" hidden="1" x14ac:dyDescent="0.25">
      <c r="A27" t="s">
        <v>179</v>
      </c>
      <c r="B27" t="s">
        <v>193</v>
      </c>
      <c r="C27" cm="1">
        <f t="array" ref="C27">_xlfn.XLOOKUP(1,(LightSpec[Location]=Table2[[#This Row],[lookup Room]]) * (LightSpec[DiagNo]=Table2[[#This Row],[lookup Device]]), LightSpec[startinput])</f>
        <v>0</v>
      </c>
      <c r="D27" t="s">
        <v>445</v>
      </c>
      <c r="E27" t="s">
        <v>500</v>
      </c>
      <c r="F27" t="str" cm="1">
        <f t="array" aca="1" ref="F27" ca="1">_xlfn.LET(
  _xlpm.txt, _xlfn.XLOOKUP(1,(LightSpec[Location]=Table2[[#This Row],[lookup Room]]) * (LightSpec[DiagNo]=Table2[[#This Row],[lookup Device]]),LightSpec[From]),
  _xlpm.n, LEN(_xlpm.txt),
  _xlpm.pos, MATCH(FALSE, ISNUMBER(MID(_xlpm.txt, ROW(INDIRECT("2:" &amp; _xlpm.n)), 1)*1), 0),
  LEFT(_xlpm.txt, _xlpm.pos)
)</f>
        <v>D2</v>
      </c>
      <c r="G27">
        <f>_xlfn.XLOOKUP(Table2[[#This Row],[Trigger]],SwitchButtons[switch],SwitchButtons[input])+Table2[[#This Row],[start]]</f>
        <v>0</v>
      </c>
      <c r="H27" t="s">
        <v>517</v>
      </c>
      <c r="I27" t="str">
        <f>_xlfn.XLOOKUP(Table2[[#This Row],[set1]],circuitoutputs[circuit],circuitoutputs[device])</f>
        <v>D2</v>
      </c>
      <c r="J27">
        <f>_xlfn.XLOOKUP(Table2[[#This Row],[set1]],circuitoutputs[circuit],circuitoutputs[output])</f>
        <v>0</v>
      </c>
      <c r="K27" t="s">
        <v>494</v>
      </c>
    </row>
    <row r="28" spans="1:11" hidden="1" x14ac:dyDescent="0.25">
      <c r="A28" t="s">
        <v>179</v>
      </c>
      <c r="B28" t="s">
        <v>193</v>
      </c>
      <c r="C28" cm="1">
        <f t="array" ref="C28">_xlfn.XLOOKUP(1,(LightSpec[Location]=Table2[[#This Row],[lookup Room]]) * (LightSpec[DiagNo]=Table2[[#This Row],[lookup Device]]), LightSpec[startinput])</f>
        <v>0</v>
      </c>
      <c r="D28" t="s">
        <v>445</v>
      </c>
      <c r="E28" t="s">
        <v>500</v>
      </c>
      <c r="F28" t="str" cm="1">
        <f t="array" aca="1" ref="F28" ca="1">_xlfn.LET(
  _xlpm.txt, _xlfn.XLOOKUP(1,(LightSpec[Location]=Table2[[#This Row],[lookup Room]]) * (LightSpec[DiagNo]=Table2[[#This Row],[lookup Device]]),LightSpec[From]),
  _xlpm.n, LEN(_xlpm.txt),
  _xlpm.pos, MATCH(FALSE, ISNUMBER(MID(_xlpm.txt, ROW(INDIRECT("2:" &amp; _xlpm.n)), 1)*1), 0),
  LEFT(_xlpm.txt, _xlpm.pos)
)</f>
        <v>D2</v>
      </c>
      <c r="G28">
        <f>_xlfn.XLOOKUP(Table2[[#This Row],[Trigger]],SwitchButtons[switch],SwitchButtons[input])+Table2[[#This Row],[start]]</f>
        <v>0</v>
      </c>
      <c r="H28" t="s">
        <v>554</v>
      </c>
      <c r="I28" t="str">
        <f>_xlfn.XLOOKUP(Table2[[#This Row],[set1]],circuitoutputs[circuit],circuitoutputs[device])</f>
        <v>D2</v>
      </c>
      <c r="J28">
        <f>_xlfn.XLOOKUP(Table2[[#This Row],[set1]],circuitoutputs[circuit],circuitoutputs[output])</f>
        <v>1</v>
      </c>
      <c r="K28" t="s">
        <v>494</v>
      </c>
    </row>
    <row r="29" spans="1:11" hidden="1" x14ac:dyDescent="0.25">
      <c r="A29" t="s">
        <v>179</v>
      </c>
      <c r="B29" t="s">
        <v>193</v>
      </c>
      <c r="C29" cm="1">
        <f t="array" ref="C29">_xlfn.XLOOKUP(1,(LightSpec[Location]=Table2[[#This Row],[lookup Room]]) * (LightSpec[DiagNo]=Table2[[#This Row],[lookup Device]]), LightSpec[startinput])</f>
        <v>0</v>
      </c>
      <c r="D29" t="s">
        <v>446</v>
      </c>
      <c r="E29" t="s">
        <v>500</v>
      </c>
      <c r="F29" t="str" cm="1">
        <f t="array" aca="1" ref="F29" ca="1">_xlfn.LET(
  _xlpm.txt, _xlfn.XLOOKUP(1,(LightSpec[Location]=Table2[[#This Row],[lookup Room]]) * (LightSpec[DiagNo]=Table2[[#This Row],[lookup Device]]),LightSpec[From]),
  _xlpm.n, LEN(_xlpm.txt),
  _xlpm.pos, MATCH(FALSE, ISNUMBER(MID(_xlpm.txt, ROW(INDIRECT("2:" &amp; _xlpm.n)), 1)*1), 0),
  LEFT(_xlpm.txt, _xlpm.pos)
)</f>
        <v>D2</v>
      </c>
      <c r="G29">
        <f>_xlfn.XLOOKUP(Table2[[#This Row],[Trigger]],SwitchButtons[switch],SwitchButtons[input])+Table2[[#This Row],[start]]</f>
        <v>1</v>
      </c>
      <c r="H29" t="s">
        <v>516</v>
      </c>
      <c r="I29" t="str">
        <f>_xlfn.XLOOKUP(Table2[[#This Row],[set1]],circuitoutputs[circuit],circuitoutputs[device])</f>
        <v>D1</v>
      </c>
      <c r="J29">
        <f>_xlfn.XLOOKUP(Table2[[#This Row],[set1]],circuitoutputs[circuit],circuitoutputs[output])</f>
        <v>0</v>
      </c>
      <c r="K29" t="s">
        <v>495</v>
      </c>
    </row>
    <row r="30" spans="1:11" hidden="1" x14ac:dyDescent="0.25">
      <c r="A30" t="s">
        <v>179</v>
      </c>
      <c r="B30" t="s">
        <v>193</v>
      </c>
      <c r="C30" cm="1">
        <f t="array" ref="C30">_xlfn.XLOOKUP(1,(LightSpec[Location]=Table2[[#This Row],[lookup Room]]) * (LightSpec[DiagNo]=Table2[[#This Row],[lookup Device]]), LightSpec[startinput])</f>
        <v>0</v>
      </c>
      <c r="D30" t="s">
        <v>446</v>
      </c>
      <c r="E30" t="s">
        <v>500</v>
      </c>
      <c r="F30" t="str" cm="1">
        <f t="array" aca="1" ref="F30" ca="1">_xlfn.LET(
  _xlpm.txt, _xlfn.XLOOKUP(1,(LightSpec[Location]=Table2[[#This Row],[lookup Room]]) * (LightSpec[DiagNo]=Table2[[#This Row],[lookup Device]]),LightSpec[From]),
  _xlpm.n, LEN(_xlpm.txt),
  _xlpm.pos, MATCH(FALSE, ISNUMBER(MID(_xlpm.txt, ROW(INDIRECT("2:" &amp; _xlpm.n)), 1)*1), 0),
  LEFT(_xlpm.txt, _xlpm.pos)
)</f>
        <v>D2</v>
      </c>
      <c r="G30">
        <f>_xlfn.XLOOKUP(Table2[[#This Row],[Trigger]],SwitchButtons[switch],SwitchButtons[input])+Table2[[#This Row],[start]]</f>
        <v>1</v>
      </c>
      <c r="H30" t="s">
        <v>553</v>
      </c>
      <c r="I30" t="str">
        <f>_xlfn.XLOOKUP(Table2[[#This Row],[set1]],circuitoutputs[circuit],circuitoutputs[device])</f>
        <v>D1</v>
      </c>
      <c r="J30">
        <f>_xlfn.XLOOKUP(Table2[[#This Row],[set1]],circuitoutputs[circuit],circuitoutputs[output])</f>
        <v>1</v>
      </c>
      <c r="K30" t="s">
        <v>495</v>
      </c>
    </row>
    <row r="31" spans="1:11" hidden="1" x14ac:dyDescent="0.25">
      <c r="A31" t="s">
        <v>179</v>
      </c>
      <c r="B31" t="s">
        <v>193</v>
      </c>
      <c r="C31" cm="1">
        <f t="array" ref="C31">_xlfn.XLOOKUP(1,(LightSpec[Location]=Table2[[#This Row],[lookup Room]]) * (LightSpec[DiagNo]=Table2[[#This Row],[lookup Device]]), LightSpec[startinput])</f>
        <v>0</v>
      </c>
      <c r="D31" t="s">
        <v>446</v>
      </c>
      <c r="E31" t="s">
        <v>500</v>
      </c>
      <c r="F31" t="str" cm="1">
        <f t="array" aca="1" ref="F31" ca="1">_xlfn.LET(
  _xlpm.txt, _xlfn.XLOOKUP(1,(LightSpec[Location]=Table2[[#This Row],[lookup Room]]) * (LightSpec[DiagNo]=Table2[[#This Row],[lookup Device]]),LightSpec[From]),
  _xlpm.n, LEN(_xlpm.txt),
  _xlpm.pos, MATCH(FALSE, ISNUMBER(MID(_xlpm.txt, ROW(INDIRECT("2:" &amp; _xlpm.n)), 1)*1), 0),
  LEFT(_xlpm.txt, _xlpm.pos)
)</f>
        <v>D2</v>
      </c>
      <c r="G31">
        <f>_xlfn.XLOOKUP(Table2[[#This Row],[Trigger]],SwitchButtons[switch],SwitchButtons[input])+Table2[[#This Row],[start]]</f>
        <v>1</v>
      </c>
      <c r="H31" t="s">
        <v>517</v>
      </c>
      <c r="I31" t="str">
        <f>_xlfn.XLOOKUP(Table2[[#This Row],[set1]],circuitoutputs[circuit],circuitoutputs[device])</f>
        <v>D2</v>
      </c>
      <c r="J31">
        <f>_xlfn.XLOOKUP(Table2[[#This Row],[set1]],circuitoutputs[circuit],circuitoutputs[output])</f>
        <v>0</v>
      </c>
      <c r="K31" t="s">
        <v>495</v>
      </c>
    </row>
    <row r="32" spans="1:11" hidden="1" x14ac:dyDescent="0.25">
      <c r="A32" t="s">
        <v>179</v>
      </c>
      <c r="B32" t="s">
        <v>193</v>
      </c>
      <c r="C32" cm="1">
        <f t="array" ref="C32">_xlfn.XLOOKUP(1,(LightSpec[Location]=Table2[[#This Row],[lookup Room]]) * (LightSpec[DiagNo]=Table2[[#This Row],[lookup Device]]), LightSpec[startinput])</f>
        <v>0</v>
      </c>
      <c r="D32" t="s">
        <v>446</v>
      </c>
      <c r="E32" t="s">
        <v>500</v>
      </c>
      <c r="F32" t="str" cm="1">
        <f t="array" aca="1" ref="F32" ca="1">_xlfn.LET(
  _xlpm.txt, _xlfn.XLOOKUP(1,(LightSpec[Location]=Table2[[#This Row],[lookup Room]]) * (LightSpec[DiagNo]=Table2[[#This Row],[lookup Device]]),LightSpec[From]),
  _xlpm.n, LEN(_xlpm.txt),
  _xlpm.pos, MATCH(FALSE, ISNUMBER(MID(_xlpm.txt, ROW(INDIRECT("2:" &amp; _xlpm.n)), 1)*1), 0),
  LEFT(_xlpm.txt, _xlpm.pos)
)</f>
        <v>D2</v>
      </c>
      <c r="G32">
        <f>_xlfn.XLOOKUP(Table2[[#This Row],[Trigger]],SwitchButtons[switch],SwitchButtons[input])+Table2[[#This Row],[start]]</f>
        <v>1</v>
      </c>
      <c r="H32" t="s">
        <v>554</v>
      </c>
      <c r="I32" t="str">
        <f>_xlfn.XLOOKUP(Table2[[#This Row],[set1]],circuitoutputs[circuit],circuitoutputs[device])</f>
        <v>D2</v>
      </c>
      <c r="J32">
        <f>_xlfn.XLOOKUP(Table2[[#This Row],[set1]],circuitoutputs[circuit],circuitoutputs[output])</f>
        <v>1</v>
      </c>
      <c r="K32" t="s">
        <v>495</v>
      </c>
    </row>
    <row r="33" spans="1:11" hidden="1" x14ac:dyDescent="0.25">
      <c r="A33" t="s">
        <v>180</v>
      </c>
      <c r="B33" t="s">
        <v>194</v>
      </c>
      <c r="C33" cm="1">
        <f t="array" ref="C33">_xlfn.XLOOKUP(1,(LightSpec[Location]=Table2[[#This Row],[lookup Room]]) * (LightSpec[DiagNo]=Table2[[#This Row],[lookup Device]]), LightSpec[startinput])</f>
        <v>2</v>
      </c>
      <c r="D33" t="s">
        <v>445</v>
      </c>
      <c r="E33" t="s">
        <v>500</v>
      </c>
      <c r="F33" t="str" cm="1">
        <f t="array" aca="1" ref="F33" ca="1">_xlfn.LET(
  _xlpm.txt, _xlfn.XLOOKUP(1,(LightSpec[Location]=Table2[[#This Row],[lookup Room]]) * (LightSpec[DiagNo]=Table2[[#This Row],[lookup Device]]),LightSpec[From]),
  _xlpm.n, LEN(_xlpm.txt),
  _xlpm.pos, MATCH(FALSE, ISNUMBER(MID(_xlpm.txt, ROW(INDIRECT("2:" &amp; _xlpm.n)), 1)*1), 0),
  LEFT(_xlpm.txt, _xlpm.pos)
)</f>
        <v>D2</v>
      </c>
      <c r="G33">
        <f>_xlfn.XLOOKUP(Table2[[#This Row],[Trigger]],SwitchButtons[switch],SwitchButtons[input])+Table2[[#This Row],[start]]</f>
        <v>2</v>
      </c>
      <c r="H33" t="s">
        <v>517</v>
      </c>
      <c r="I33" t="str">
        <f>_xlfn.XLOOKUP(Table2[[#This Row],[set1]],circuitoutputs[circuit],circuitoutputs[device])</f>
        <v>D2</v>
      </c>
      <c r="J33">
        <f>_xlfn.XLOOKUP(Table2[[#This Row],[set1]],circuitoutputs[circuit],circuitoutputs[output])</f>
        <v>0</v>
      </c>
      <c r="K33" t="s">
        <v>494</v>
      </c>
    </row>
    <row r="34" spans="1:11" hidden="1" x14ac:dyDescent="0.25">
      <c r="A34" t="s">
        <v>180</v>
      </c>
      <c r="B34" t="s">
        <v>194</v>
      </c>
      <c r="C34" cm="1">
        <f t="array" ref="C34">_xlfn.XLOOKUP(1,(LightSpec[Location]=Table2[[#This Row],[lookup Room]]) * (LightSpec[DiagNo]=Table2[[#This Row],[lookup Device]]), LightSpec[startinput])</f>
        <v>2</v>
      </c>
      <c r="D34" t="s">
        <v>445</v>
      </c>
      <c r="E34" t="s">
        <v>500</v>
      </c>
      <c r="F34" t="str" cm="1">
        <f t="array" aca="1" ref="F34" ca="1">_xlfn.LET(
  _xlpm.txt, _xlfn.XLOOKUP(1,(LightSpec[Location]=Table2[[#This Row],[lookup Room]]) * (LightSpec[DiagNo]=Table2[[#This Row],[lookup Device]]),LightSpec[From]),
  _xlpm.n, LEN(_xlpm.txt),
  _xlpm.pos, MATCH(FALSE, ISNUMBER(MID(_xlpm.txt, ROW(INDIRECT("2:" &amp; _xlpm.n)), 1)*1), 0),
  LEFT(_xlpm.txt, _xlpm.pos)
)</f>
        <v>D2</v>
      </c>
      <c r="G34">
        <f>_xlfn.XLOOKUP(Table2[[#This Row],[Trigger]],SwitchButtons[switch],SwitchButtons[input])+Table2[[#This Row],[start]]</f>
        <v>2</v>
      </c>
      <c r="H34" t="s">
        <v>518</v>
      </c>
      <c r="I34" t="str">
        <f>_xlfn.XLOOKUP(Table2[[#This Row],[set1]],circuitoutputs[circuit],circuitoutputs[device])</f>
        <v>D3</v>
      </c>
      <c r="J34">
        <f>_xlfn.XLOOKUP(Table2[[#This Row],[set1]],circuitoutputs[circuit],circuitoutputs[output])</f>
        <v>0</v>
      </c>
      <c r="K34" t="s">
        <v>494</v>
      </c>
    </row>
    <row r="35" spans="1:11" hidden="1" x14ac:dyDescent="0.25">
      <c r="A35" t="s">
        <v>180</v>
      </c>
      <c r="B35" t="s">
        <v>194</v>
      </c>
      <c r="C35" cm="1">
        <f t="array" ref="C35">_xlfn.XLOOKUP(1,(LightSpec[Location]=Table2[[#This Row],[lookup Room]]) * (LightSpec[DiagNo]=Table2[[#This Row],[lookup Device]]), LightSpec[startinput])</f>
        <v>2</v>
      </c>
      <c r="D35" t="s">
        <v>445</v>
      </c>
      <c r="E35" t="s">
        <v>500</v>
      </c>
      <c r="F35" t="str" cm="1">
        <f t="array" aca="1" ref="F35" ca="1">_xlfn.LET(
  _xlpm.txt, _xlfn.XLOOKUP(1,(LightSpec[Location]=Table2[[#This Row],[lookup Room]]) * (LightSpec[DiagNo]=Table2[[#This Row],[lookup Device]]),LightSpec[From]),
  _xlpm.n, LEN(_xlpm.txt),
  _xlpm.pos, MATCH(FALSE, ISNUMBER(MID(_xlpm.txt, ROW(INDIRECT("2:" &amp; _xlpm.n)), 1)*1), 0),
  LEFT(_xlpm.txt, _xlpm.pos)
)</f>
        <v>D2</v>
      </c>
      <c r="G35">
        <f>_xlfn.XLOOKUP(Table2[[#This Row],[Trigger]],SwitchButtons[switch],SwitchButtons[input])+Table2[[#This Row],[start]]</f>
        <v>2</v>
      </c>
      <c r="H35" t="s">
        <v>555</v>
      </c>
      <c r="I35" t="str">
        <f>_xlfn.XLOOKUP(Table2[[#This Row],[set1]],circuitoutputs[circuit],circuitoutputs[device])</f>
        <v>D3</v>
      </c>
      <c r="J35">
        <f>_xlfn.XLOOKUP(Table2[[#This Row],[set1]],circuitoutputs[circuit],circuitoutputs[output])</f>
        <v>1</v>
      </c>
      <c r="K35" t="s">
        <v>494</v>
      </c>
    </row>
    <row r="36" spans="1:11" hidden="1" x14ac:dyDescent="0.25">
      <c r="A36" t="s">
        <v>180</v>
      </c>
      <c r="B36" t="s">
        <v>194</v>
      </c>
      <c r="C36" cm="1">
        <f t="array" ref="C36">_xlfn.XLOOKUP(1,(LightSpec[Location]=Table2[[#This Row],[lookup Room]]) * (LightSpec[DiagNo]=Table2[[#This Row],[lookup Device]]), LightSpec[startinput])</f>
        <v>2</v>
      </c>
      <c r="D36" t="s">
        <v>446</v>
      </c>
      <c r="E36" t="s">
        <v>500</v>
      </c>
      <c r="F36" t="str" cm="1">
        <f t="array" aca="1" ref="F36" ca="1">_xlfn.LET(
  _xlpm.txt, _xlfn.XLOOKUP(1,(LightSpec[Location]=Table2[[#This Row],[lookup Room]]) * (LightSpec[DiagNo]=Table2[[#This Row],[lookup Device]]),LightSpec[From]),
  _xlpm.n, LEN(_xlpm.txt),
  _xlpm.pos, MATCH(FALSE, ISNUMBER(MID(_xlpm.txt, ROW(INDIRECT("2:" &amp; _xlpm.n)), 1)*1), 0),
  LEFT(_xlpm.txt, _xlpm.pos)
)</f>
        <v>D2</v>
      </c>
      <c r="G36">
        <f>_xlfn.XLOOKUP(Table2[[#This Row],[Trigger]],SwitchButtons[switch],SwitchButtons[input])+Table2[[#This Row],[start]]</f>
        <v>3</v>
      </c>
      <c r="H36" t="s">
        <v>517</v>
      </c>
      <c r="I36" t="str">
        <f>_xlfn.XLOOKUP(Table2[[#This Row],[set1]],circuitoutputs[circuit],circuitoutputs[device])</f>
        <v>D2</v>
      </c>
      <c r="J36">
        <f>_xlfn.XLOOKUP(Table2[[#This Row],[set1]],circuitoutputs[circuit],circuitoutputs[output])</f>
        <v>0</v>
      </c>
      <c r="K36" t="s">
        <v>495</v>
      </c>
    </row>
    <row r="37" spans="1:11" hidden="1" x14ac:dyDescent="0.25">
      <c r="A37" t="s">
        <v>180</v>
      </c>
      <c r="B37" t="s">
        <v>194</v>
      </c>
      <c r="C37" cm="1">
        <f t="array" ref="C37">_xlfn.XLOOKUP(1,(LightSpec[Location]=Table2[[#This Row],[lookup Room]]) * (LightSpec[DiagNo]=Table2[[#This Row],[lookup Device]]), LightSpec[startinput])</f>
        <v>2</v>
      </c>
      <c r="D37" t="s">
        <v>446</v>
      </c>
      <c r="E37" t="s">
        <v>500</v>
      </c>
      <c r="F37" t="str" cm="1">
        <f t="array" aca="1" ref="F37" ca="1">_xlfn.LET(
  _xlpm.txt, _xlfn.XLOOKUP(1,(LightSpec[Location]=Table2[[#This Row],[lookup Room]]) * (LightSpec[DiagNo]=Table2[[#This Row],[lookup Device]]),LightSpec[From]),
  _xlpm.n, LEN(_xlpm.txt),
  _xlpm.pos, MATCH(FALSE, ISNUMBER(MID(_xlpm.txt, ROW(INDIRECT("2:" &amp; _xlpm.n)), 1)*1), 0),
  LEFT(_xlpm.txt, _xlpm.pos)
)</f>
        <v>D2</v>
      </c>
      <c r="G37">
        <f>_xlfn.XLOOKUP(Table2[[#This Row],[Trigger]],SwitchButtons[switch],SwitchButtons[input])+Table2[[#This Row],[start]]</f>
        <v>3</v>
      </c>
      <c r="H37" t="s">
        <v>518</v>
      </c>
      <c r="I37" t="str">
        <f>_xlfn.XLOOKUP(Table2[[#This Row],[set1]],circuitoutputs[circuit],circuitoutputs[device])</f>
        <v>D3</v>
      </c>
      <c r="J37">
        <f>_xlfn.XLOOKUP(Table2[[#This Row],[set1]],circuitoutputs[circuit],circuitoutputs[output])</f>
        <v>0</v>
      </c>
      <c r="K37" t="s">
        <v>495</v>
      </c>
    </row>
    <row r="38" spans="1:11" hidden="1" x14ac:dyDescent="0.25">
      <c r="A38" t="s">
        <v>180</v>
      </c>
      <c r="B38" t="s">
        <v>194</v>
      </c>
      <c r="C38" cm="1">
        <f t="array" ref="C38">_xlfn.XLOOKUP(1,(LightSpec[Location]=Table2[[#This Row],[lookup Room]]) * (LightSpec[DiagNo]=Table2[[#This Row],[lookup Device]]), LightSpec[startinput])</f>
        <v>2</v>
      </c>
      <c r="D38" t="s">
        <v>446</v>
      </c>
      <c r="E38" t="s">
        <v>500</v>
      </c>
      <c r="F38" t="str" cm="1">
        <f t="array" aca="1" ref="F38" ca="1">_xlfn.LET(
  _xlpm.txt, _xlfn.XLOOKUP(1,(LightSpec[Location]=Table2[[#This Row],[lookup Room]]) * (LightSpec[DiagNo]=Table2[[#This Row],[lookup Device]]),LightSpec[From]),
  _xlpm.n, LEN(_xlpm.txt),
  _xlpm.pos, MATCH(FALSE, ISNUMBER(MID(_xlpm.txt, ROW(INDIRECT("2:" &amp; _xlpm.n)), 1)*1), 0),
  LEFT(_xlpm.txt, _xlpm.pos)
)</f>
        <v>D2</v>
      </c>
      <c r="G38">
        <f>_xlfn.XLOOKUP(Table2[[#This Row],[Trigger]],SwitchButtons[switch],SwitchButtons[input])+Table2[[#This Row],[start]]</f>
        <v>3</v>
      </c>
      <c r="H38" t="s">
        <v>555</v>
      </c>
      <c r="I38" t="str">
        <f>_xlfn.XLOOKUP(Table2[[#This Row],[set1]],circuitoutputs[circuit],circuitoutputs[device])</f>
        <v>D3</v>
      </c>
      <c r="J38">
        <f>_xlfn.XLOOKUP(Table2[[#This Row],[set1]],circuitoutputs[circuit],circuitoutputs[output])</f>
        <v>1</v>
      </c>
      <c r="K38" t="s">
        <v>495</v>
      </c>
    </row>
    <row r="39" spans="1:11" hidden="1" x14ac:dyDescent="0.25">
      <c r="A39" t="s">
        <v>180</v>
      </c>
      <c r="B39" t="s">
        <v>195</v>
      </c>
      <c r="C39" cm="1">
        <f t="array" ref="C39">_xlfn.XLOOKUP(1,(LightSpec[Location]=Table2[[#This Row],[lookup Room]]) * (LightSpec[DiagNo]=Table2[[#This Row],[lookup Device]]), LightSpec[startinput])</f>
        <v>0</v>
      </c>
      <c r="D39" t="s">
        <v>445</v>
      </c>
      <c r="E39" t="s">
        <v>500</v>
      </c>
      <c r="F39" t="str" cm="1">
        <f t="array" aca="1" ref="F39" ca="1">_xlfn.LET(
  _xlpm.txt, _xlfn.XLOOKUP(1,(LightSpec[Location]=Table2[[#This Row],[lookup Room]]) * (LightSpec[DiagNo]=Table2[[#This Row],[lookup Device]]),LightSpec[From]),
  _xlpm.n, LEN(_xlpm.txt),
  _xlpm.pos, MATCH(FALSE, ISNUMBER(MID(_xlpm.txt, ROW(INDIRECT("2:" &amp; _xlpm.n)), 1)*1), 0),
  LEFT(_xlpm.txt, _xlpm.pos)
)</f>
        <v>D3</v>
      </c>
      <c r="G39">
        <f>_xlfn.XLOOKUP(Table2[[#This Row],[Trigger]],SwitchButtons[switch],SwitchButtons[input])+Table2[[#This Row],[start]]</f>
        <v>0</v>
      </c>
      <c r="H39" t="s">
        <v>517</v>
      </c>
      <c r="I39" t="str">
        <f>_xlfn.XLOOKUP(Table2[[#This Row],[set1]],circuitoutputs[circuit],circuitoutputs[device])</f>
        <v>D2</v>
      </c>
      <c r="J39">
        <f>_xlfn.XLOOKUP(Table2[[#This Row],[set1]],circuitoutputs[circuit],circuitoutputs[output])</f>
        <v>0</v>
      </c>
      <c r="K39" t="s">
        <v>494</v>
      </c>
    </row>
    <row r="40" spans="1:11" hidden="1" x14ac:dyDescent="0.25">
      <c r="A40" t="s">
        <v>180</v>
      </c>
      <c r="B40" t="s">
        <v>195</v>
      </c>
      <c r="C40" cm="1">
        <f t="array" ref="C40">_xlfn.XLOOKUP(1,(LightSpec[Location]=Table2[[#This Row],[lookup Room]]) * (LightSpec[DiagNo]=Table2[[#This Row],[lookup Device]]), LightSpec[startinput])</f>
        <v>0</v>
      </c>
      <c r="D40" t="s">
        <v>445</v>
      </c>
      <c r="E40" t="s">
        <v>500</v>
      </c>
      <c r="F40" t="str" cm="1">
        <f t="array" aca="1" ref="F40" ca="1">_xlfn.LET(
  _xlpm.txt, _xlfn.XLOOKUP(1,(LightSpec[Location]=Table2[[#This Row],[lookup Room]]) * (LightSpec[DiagNo]=Table2[[#This Row],[lookup Device]]),LightSpec[From]),
  _xlpm.n, LEN(_xlpm.txt),
  _xlpm.pos, MATCH(FALSE, ISNUMBER(MID(_xlpm.txt, ROW(INDIRECT("2:" &amp; _xlpm.n)), 1)*1), 0),
  LEFT(_xlpm.txt, _xlpm.pos)
)</f>
        <v>D3</v>
      </c>
      <c r="G40">
        <f>_xlfn.XLOOKUP(Table2[[#This Row],[Trigger]],SwitchButtons[switch],SwitchButtons[input])+Table2[[#This Row],[start]]</f>
        <v>0</v>
      </c>
      <c r="H40" t="s">
        <v>518</v>
      </c>
      <c r="I40" t="str">
        <f>_xlfn.XLOOKUP(Table2[[#This Row],[set1]],circuitoutputs[circuit],circuitoutputs[device])</f>
        <v>D3</v>
      </c>
      <c r="J40">
        <f>_xlfn.XLOOKUP(Table2[[#This Row],[set1]],circuitoutputs[circuit],circuitoutputs[output])</f>
        <v>0</v>
      </c>
      <c r="K40" t="s">
        <v>494</v>
      </c>
    </row>
    <row r="41" spans="1:11" hidden="1" x14ac:dyDescent="0.25">
      <c r="A41" t="s">
        <v>180</v>
      </c>
      <c r="B41" t="s">
        <v>195</v>
      </c>
      <c r="C41" cm="1">
        <f t="array" ref="C41">_xlfn.XLOOKUP(1,(LightSpec[Location]=Table2[[#This Row],[lookup Room]]) * (LightSpec[DiagNo]=Table2[[#This Row],[lookup Device]]), LightSpec[startinput])</f>
        <v>0</v>
      </c>
      <c r="D41" t="s">
        <v>445</v>
      </c>
      <c r="E41" t="s">
        <v>500</v>
      </c>
      <c r="F41" t="str" cm="1">
        <f t="array" aca="1" ref="F41" ca="1">_xlfn.LET(
  _xlpm.txt, _xlfn.XLOOKUP(1,(LightSpec[Location]=Table2[[#This Row],[lookup Room]]) * (LightSpec[DiagNo]=Table2[[#This Row],[lookup Device]]),LightSpec[From]),
  _xlpm.n, LEN(_xlpm.txt),
  _xlpm.pos, MATCH(FALSE, ISNUMBER(MID(_xlpm.txt, ROW(INDIRECT("2:" &amp; _xlpm.n)), 1)*1), 0),
  LEFT(_xlpm.txt, _xlpm.pos)
)</f>
        <v>D3</v>
      </c>
      <c r="G41">
        <f>_xlfn.XLOOKUP(Table2[[#This Row],[Trigger]],SwitchButtons[switch],SwitchButtons[input])+Table2[[#This Row],[start]]</f>
        <v>0</v>
      </c>
      <c r="H41" t="s">
        <v>555</v>
      </c>
      <c r="I41" t="str">
        <f>_xlfn.XLOOKUP(Table2[[#This Row],[set1]],circuitoutputs[circuit],circuitoutputs[device])</f>
        <v>D3</v>
      </c>
      <c r="J41">
        <f>_xlfn.XLOOKUP(Table2[[#This Row],[set1]],circuitoutputs[circuit],circuitoutputs[output])</f>
        <v>1</v>
      </c>
      <c r="K41" t="s">
        <v>494</v>
      </c>
    </row>
    <row r="42" spans="1:11" hidden="1" x14ac:dyDescent="0.25">
      <c r="A42" t="s">
        <v>180</v>
      </c>
      <c r="B42" t="s">
        <v>195</v>
      </c>
      <c r="C42" cm="1">
        <f t="array" ref="C42">_xlfn.XLOOKUP(1,(LightSpec[Location]=Table2[[#This Row],[lookup Room]]) * (LightSpec[DiagNo]=Table2[[#This Row],[lookup Device]]), LightSpec[startinput])</f>
        <v>0</v>
      </c>
      <c r="D42" t="s">
        <v>445</v>
      </c>
      <c r="E42" t="s">
        <v>503</v>
      </c>
      <c r="F42" t="str" cm="1">
        <f t="array" aca="1" ref="F42" ca="1">_xlfn.LET(
  _xlpm.txt, _xlfn.XLOOKUP(1,(LightSpec[Location]=Table2[[#This Row],[lookup Room]]) * (LightSpec[DiagNo]=Table2[[#This Row],[lookup Device]]),LightSpec[From]),
  _xlpm.n, LEN(_xlpm.txt),
  _xlpm.pos, MATCH(FALSE, ISNUMBER(MID(_xlpm.txt, ROW(INDIRECT("2:" &amp; _xlpm.n)), 1)*1), 0),
  LEFT(_xlpm.txt, _xlpm.pos)
)</f>
        <v>D3</v>
      </c>
      <c r="G42">
        <f>_xlfn.XLOOKUP(Table2[[#This Row],[Trigger]],SwitchButtons[switch],SwitchButtons[input])+Table2[[#This Row],[start]]</f>
        <v>0</v>
      </c>
      <c r="H42" t="s">
        <v>517</v>
      </c>
      <c r="I42" t="str">
        <f>_xlfn.XLOOKUP(Table2[[#This Row],[set1]],circuitoutputs[circuit],circuitoutputs[device])</f>
        <v>D2</v>
      </c>
      <c r="J42">
        <f>_xlfn.XLOOKUP(Table2[[#This Row],[set1]],circuitoutputs[circuit],circuitoutputs[output])</f>
        <v>0</v>
      </c>
      <c r="K42" t="s">
        <v>596</v>
      </c>
    </row>
    <row r="43" spans="1:11" hidden="1" x14ac:dyDescent="0.25">
      <c r="A43" t="s">
        <v>180</v>
      </c>
      <c r="B43" t="s">
        <v>195</v>
      </c>
      <c r="C43" cm="1">
        <f t="array" ref="C43">_xlfn.XLOOKUP(1,(LightSpec[Location]=Table2[[#This Row],[lookup Room]]) * (LightSpec[DiagNo]=Table2[[#This Row],[lookup Device]]), LightSpec[startinput])</f>
        <v>0</v>
      </c>
      <c r="D43" t="s">
        <v>445</v>
      </c>
      <c r="E43" t="s">
        <v>503</v>
      </c>
      <c r="F43" t="str" cm="1">
        <f t="array" aca="1" ref="F43" ca="1">_xlfn.LET(
  _xlpm.txt, _xlfn.XLOOKUP(1,(LightSpec[Location]=Table2[[#This Row],[lookup Room]]) * (LightSpec[DiagNo]=Table2[[#This Row],[lookup Device]]),LightSpec[From]),
  _xlpm.n, LEN(_xlpm.txt),
  _xlpm.pos, MATCH(FALSE, ISNUMBER(MID(_xlpm.txt, ROW(INDIRECT("2:" &amp; _xlpm.n)), 1)*1), 0),
  LEFT(_xlpm.txt, _xlpm.pos)
)</f>
        <v>D3</v>
      </c>
      <c r="G43">
        <f>_xlfn.XLOOKUP(Table2[[#This Row],[Trigger]],SwitchButtons[switch],SwitchButtons[input])+Table2[[#This Row],[start]]</f>
        <v>0</v>
      </c>
      <c r="H43" t="s">
        <v>518</v>
      </c>
      <c r="I43" t="str">
        <f>_xlfn.XLOOKUP(Table2[[#This Row],[set1]],circuitoutputs[circuit],circuitoutputs[device])</f>
        <v>D3</v>
      </c>
      <c r="J43">
        <f>_xlfn.XLOOKUP(Table2[[#This Row],[set1]],circuitoutputs[circuit],circuitoutputs[output])</f>
        <v>0</v>
      </c>
      <c r="K43" t="s">
        <v>596</v>
      </c>
    </row>
    <row r="44" spans="1:11" hidden="1" x14ac:dyDescent="0.25">
      <c r="A44" t="s">
        <v>180</v>
      </c>
      <c r="B44" t="s">
        <v>195</v>
      </c>
      <c r="C44" cm="1">
        <f t="array" ref="C44">_xlfn.XLOOKUP(1,(LightSpec[Location]=Table2[[#This Row],[lookup Room]]) * (LightSpec[DiagNo]=Table2[[#This Row],[lookup Device]]), LightSpec[startinput])</f>
        <v>0</v>
      </c>
      <c r="D44" t="s">
        <v>445</v>
      </c>
      <c r="E44" t="s">
        <v>503</v>
      </c>
      <c r="F44" t="str" cm="1">
        <f t="array" aca="1" ref="F44" ca="1">_xlfn.LET(
  _xlpm.txt, _xlfn.XLOOKUP(1,(LightSpec[Location]=Table2[[#This Row],[lookup Room]]) * (LightSpec[DiagNo]=Table2[[#This Row],[lookup Device]]),LightSpec[From]),
  _xlpm.n, LEN(_xlpm.txt),
  _xlpm.pos, MATCH(FALSE, ISNUMBER(MID(_xlpm.txt, ROW(INDIRECT("2:" &amp; _xlpm.n)), 1)*1), 0),
  LEFT(_xlpm.txt, _xlpm.pos)
)</f>
        <v>D3</v>
      </c>
      <c r="G44">
        <f>_xlfn.XLOOKUP(Table2[[#This Row],[Trigger]],SwitchButtons[switch],SwitchButtons[input])+Table2[[#This Row],[start]]</f>
        <v>0</v>
      </c>
      <c r="H44" t="s">
        <v>555</v>
      </c>
      <c r="I44" t="str">
        <f>_xlfn.XLOOKUP(Table2[[#This Row],[set1]],circuitoutputs[circuit],circuitoutputs[device])</f>
        <v>D3</v>
      </c>
      <c r="J44">
        <f>_xlfn.XLOOKUP(Table2[[#This Row],[set1]],circuitoutputs[circuit],circuitoutputs[output])</f>
        <v>1</v>
      </c>
      <c r="K44" t="s">
        <v>596</v>
      </c>
    </row>
    <row r="45" spans="1:11" hidden="1" x14ac:dyDescent="0.25">
      <c r="A45" t="s">
        <v>180</v>
      </c>
      <c r="B45" t="s">
        <v>195</v>
      </c>
      <c r="C45" cm="1">
        <f t="array" ref="C45">_xlfn.XLOOKUP(1,(LightSpec[Location]=Table2[[#This Row],[lookup Room]]) * (LightSpec[DiagNo]=Table2[[#This Row],[lookup Device]]), LightSpec[startinput])</f>
        <v>0</v>
      </c>
      <c r="D45" t="s">
        <v>446</v>
      </c>
      <c r="E45" t="s">
        <v>500</v>
      </c>
      <c r="F45" t="str" cm="1">
        <f t="array" aca="1" ref="F45" ca="1">_xlfn.LET(
  _xlpm.txt, _xlfn.XLOOKUP(1,(LightSpec[Location]=Table2[[#This Row],[lookup Room]]) * (LightSpec[DiagNo]=Table2[[#This Row],[lookup Device]]),LightSpec[From]),
  _xlpm.n, LEN(_xlpm.txt),
  _xlpm.pos, MATCH(FALSE, ISNUMBER(MID(_xlpm.txt, ROW(INDIRECT("2:" &amp; _xlpm.n)), 1)*1), 0),
  LEFT(_xlpm.txt, _xlpm.pos)
)</f>
        <v>D3</v>
      </c>
      <c r="G45">
        <f>_xlfn.XLOOKUP(Table2[[#This Row],[Trigger]],SwitchButtons[switch],SwitchButtons[input])+Table2[[#This Row],[start]]</f>
        <v>1</v>
      </c>
      <c r="H45" t="s">
        <v>517</v>
      </c>
      <c r="I45" t="str">
        <f>_xlfn.XLOOKUP(Table2[[#This Row],[set1]],circuitoutputs[circuit],circuitoutputs[device])</f>
        <v>D2</v>
      </c>
      <c r="J45">
        <f>_xlfn.XLOOKUP(Table2[[#This Row],[set1]],circuitoutputs[circuit],circuitoutputs[output])</f>
        <v>0</v>
      </c>
      <c r="K45" t="s">
        <v>495</v>
      </c>
    </row>
    <row r="46" spans="1:11" hidden="1" x14ac:dyDescent="0.25">
      <c r="A46" t="s">
        <v>180</v>
      </c>
      <c r="B46" t="s">
        <v>195</v>
      </c>
      <c r="C46" cm="1">
        <f t="array" ref="C46">_xlfn.XLOOKUP(1,(LightSpec[Location]=Table2[[#This Row],[lookup Room]]) * (LightSpec[DiagNo]=Table2[[#This Row],[lookup Device]]), LightSpec[startinput])</f>
        <v>0</v>
      </c>
      <c r="D46" t="s">
        <v>446</v>
      </c>
      <c r="E46" t="s">
        <v>500</v>
      </c>
      <c r="F46" t="str" cm="1">
        <f t="array" aca="1" ref="F46" ca="1">_xlfn.LET(
  _xlpm.txt, _xlfn.XLOOKUP(1,(LightSpec[Location]=Table2[[#This Row],[lookup Room]]) * (LightSpec[DiagNo]=Table2[[#This Row],[lookup Device]]),LightSpec[From]),
  _xlpm.n, LEN(_xlpm.txt),
  _xlpm.pos, MATCH(FALSE, ISNUMBER(MID(_xlpm.txt, ROW(INDIRECT("2:" &amp; _xlpm.n)), 1)*1), 0),
  LEFT(_xlpm.txt, _xlpm.pos)
)</f>
        <v>D3</v>
      </c>
      <c r="G46">
        <f>_xlfn.XLOOKUP(Table2[[#This Row],[Trigger]],SwitchButtons[switch],SwitchButtons[input])+Table2[[#This Row],[start]]</f>
        <v>1</v>
      </c>
      <c r="H46" t="s">
        <v>518</v>
      </c>
      <c r="I46" t="str">
        <f>_xlfn.XLOOKUP(Table2[[#This Row],[set1]],circuitoutputs[circuit],circuitoutputs[device])</f>
        <v>D3</v>
      </c>
      <c r="J46">
        <f>_xlfn.XLOOKUP(Table2[[#This Row],[set1]],circuitoutputs[circuit],circuitoutputs[output])</f>
        <v>0</v>
      </c>
      <c r="K46" t="s">
        <v>495</v>
      </c>
    </row>
    <row r="47" spans="1:11" hidden="1" x14ac:dyDescent="0.25">
      <c r="A47" t="s">
        <v>180</v>
      </c>
      <c r="B47" t="s">
        <v>195</v>
      </c>
      <c r="C47" cm="1">
        <f t="array" ref="C47">_xlfn.XLOOKUP(1,(LightSpec[Location]=Table2[[#This Row],[lookup Room]]) * (LightSpec[DiagNo]=Table2[[#This Row],[lookup Device]]), LightSpec[startinput])</f>
        <v>0</v>
      </c>
      <c r="D47" t="s">
        <v>446</v>
      </c>
      <c r="E47" t="s">
        <v>500</v>
      </c>
      <c r="F47" t="str" cm="1">
        <f t="array" aca="1" ref="F47" ca="1">_xlfn.LET(
  _xlpm.txt, _xlfn.XLOOKUP(1,(LightSpec[Location]=Table2[[#This Row],[lookup Room]]) * (LightSpec[DiagNo]=Table2[[#This Row],[lookup Device]]),LightSpec[From]),
  _xlpm.n, LEN(_xlpm.txt),
  _xlpm.pos, MATCH(FALSE, ISNUMBER(MID(_xlpm.txt, ROW(INDIRECT("2:" &amp; _xlpm.n)), 1)*1), 0),
  LEFT(_xlpm.txt, _xlpm.pos)
)</f>
        <v>D3</v>
      </c>
      <c r="G47">
        <f>_xlfn.XLOOKUP(Table2[[#This Row],[Trigger]],SwitchButtons[switch],SwitchButtons[input])+Table2[[#This Row],[start]]</f>
        <v>1</v>
      </c>
      <c r="H47" t="s">
        <v>555</v>
      </c>
      <c r="I47" t="str">
        <f>_xlfn.XLOOKUP(Table2[[#This Row],[set1]],circuitoutputs[circuit],circuitoutputs[device])</f>
        <v>D3</v>
      </c>
      <c r="J47">
        <f>_xlfn.XLOOKUP(Table2[[#This Row],[set1]],circuitoutputs[circuit],circuitoutputs[output])</f>
        <v>1</v>
      </c>
      <c r="K47" t="s">
        <v>495</v>
      </c>
    </row>
    <row r="48" spans="1:11" hidden="1" x14ac:dyDescent="0.25">
      <c r="A48" t="s">
        <v>180</v>
      </c>
      <c r="B48" t="s">
        <v>195</v>
      </c>
      <c r="C48" cm="1">
        <f t="array" ref="C48">_xlfn.XLOOKUP(1,(LightSpec[Location]=Table2[[#This Row],[lookup Room]]) * (LightSpec[DiagNo]=Table2[[#This Row],[lookup Device]]), LightSpec[startinput])</f>
        <v>0</v>
      </c>
      <c r="D48" t="s">
        <v>447</v>
      </c>
      <c r="E48" t="s">
        <v>500</v>
      </c>
      <c r="F48" t="str" cm="1">
        <f t="array" aca="1" ref="F48" ca="1">_xlfn.LET(
  _xlpm.txt, _xlfn.XLOOKUP(1,(LightSpec[Location]=Table2[[#This Row],[lookup Room]]) * (LightSpec[DiagNo]=Table2[[#This Row],[lookup Device]]),LightSpec[From]),
  _xlpm.n, LEN(_xlpm.txt),
  _xlpm.pos, MATCH(FALSE, ISNUMBER(MID(_xlpm.txt, ROW(INDIRECT("2:" &amp; _xlpm.n)), 1)*1), 0),
  LEFT(_xlpm.txt, _xlpm.pos)
)</f>
        <v>D3</v>
      </c>
      <c r="G48">
        <f>_xlfn.XLOOKUP(Table2[[#This Row],[Trigger]],SwitchButtons[switch],SwitchButtons[input])+Table2[[#This Row],[start]]</f>
        <v>2</v>
      </c>
      <c r="H48" t="s">
        <v>530</v>
      </c>
      <c r="I48" t="str">
        <f>_xlfn.XLOOKUP(Table2[[#This Row],[set1]],circuitoutputs[circuit],circuitoutputs[device])</f>
        <v>D15</v>
      </c>
      <c r="J48">
        <f>_xlfn.XLOOKUP(Table2[[#This Row],[set1]],circuitoutputs[circuit],circuitoutputs[output])</f>
        <v>0</v>
      </c>
      <c r="K48" t="s">
        <v>494</v>
      </c>
    </row>
    <row r="49" spans="1:11" hidden="1" x14ac:dyDescent="0.25">
      <c r="A49" t="s">
        <v>180</v>
      </c>
      <c r="B49" t="s">
        <v>195</v>
      </c>
      <c r="C49" cm="1">
        <f t="array" ref="C49">_xlfn.XLOOKUP(1,(LightSpec[Location]=Table2[[#This Row],[lookup Room]]) * (LightSpec[DiagNo]=Table2[[#This Row],[lookup Device]]), LightSpec[startinput])</f>
        <v>0</v>
      </c>
      <c r="D49" t="s">
        <v>447</v>
      </c>
      <c r="E49" t="s">
        <v>500</v>
      </c>
      <c r="F49" t="str" cm="1">
        <f t="array" aca="1" ref="F49" ca="1">_xlfn.LET(
  _xlpm.txt, _xlfn.XLOOKUP(1,(LightSpec[Location]=Table2[[#This Row],[lookup Room]]) * (LightSpec[DiagNo]=Table2[[#This Row],[lookup Device]]),LightSpec[From]),
  _xlpm.n, LEN(_xlpm.txt),
  _xlpm.pos, MATCH(FALSE, ISNUMBER(MID(_xlpm.txt, ROW(INDIRECT("2:" &amp; _xlpm.n)), 1)*1), 0),
  LEFT(_xlpm.txt, _xlpm.pos)
)</f>
        <v>D3</v>
      </c>
      <c r="G49">
        <f>_xlfn.XLOOKUP(Table2[[#This Row],[Trigger]],SwitchButtons[switch],SwitchButtons[input])+Table2[[#This Row],[start]]</f>
        <v>2</v>
      </c>
      <c r="H49" t="s">
        <v>565</v>
      </c>
      <c r="I49" t="str">
        <f>_xlfn.XLOOKUP(Table2[[#This Row],[set1]],circuitoutputs[circuit],circuitoutputs[device])</f>
        <v>D15</v>
      </c>
      <c r="J49">
        <f>_xlfn.XLOOKUP(Table2[[#This Row],[set1]],circuitoutputs[circuit],circuitoutputs[output])</f>
        <v>1</v>
      </c>
      <c r="K49" t="s">
        <v>494</v>
      </c>
    </row>
    <row r="50" spans="1:11" hidden="1" x14ac:dyDescent="0.25">
      <c r="A50" t="s">
        <v>180</v>
      </c>
      <c r="B50" t="s">
        <v>195</v>
      </c>
      <c r="C50" cm="1">
        <f t="array" ref="C50">_xlfn.XLOOKUP(1,(LightSpec[Location]=Table2[[#This Row],[lookup Room]]) * (LightSpec[DiagNo]=Table2[[#This Row],[lookup Device]]), LightSpec[startinput])</f>
        <v>0</v>
      </c>
      <c r="D50" t="s">
        <v>447</v>
      </c>
      <c r="E50" t="s">
        <v>500</v>
      </c>
      <c r="F50" t="str" cm="1">
        <f t="array" aca="1" ref="F50" ca="1">_xlfn.LET(
  _xlpm.txt, _xlfn.XLOOKUP(1,(LightSpec[Location]=Table2[[#This Row],[lookup Room]]) * (LightSpec[DiagNo]=Table2[[#This Row],[lookup Device]]),LightSpec[From]),
  _xlpm.n, LEN(_xlpm.txt),
  _xlpm.pos, MATCH(FALSE, ISNUMBER(MID(_xlpm.txt, ROW(INDIRECT("2:" &amp; _xlpm.n)), 1)*1), 0),
  LEFT(_xlpm.txt, _xlpm.pos)
)</f>
        <v>D3</v>
      </c>
      <c r="G50">
        <f>_xlfn.XLOOKUP(Table2[[#This Row],[Trigger]],SwitchButtons[switch],SwitchButtons[input])+Table2[[#This Row],[start]]</f>
        <v>2</v>
      </c>
      <c r="H50" t="s">
        <v>531</v>
      </c>
      <c r="I50" t="str">
        <f>_xlfn.XLOOKUP(Table2[[#This Row],[set1]],circuitoutputs[circuit],circuitoutputs[device])</f>
        <v>D16</v>
      </c>
      <c r="J50">
        <f>_xlfn.XLOOKUP(Table2[[#This Row],[set1]],circuitoutputs[circuit],circuitoutputs[output])</f>
        <v>0</v>
      </c>
      <c r="K50" t="s">
        <v>494</v>
      </c>
    </row>
    <row r="51" spans="1:11" hidden="1" x14ac:dyDescent="0.25">
      <c r="A51" t="s">
        <v>180</v>
      </c>
      <c r="B51" t="s">
        <v>195</v>
      </c>
      <c r="C51" cm="1">
        <f t="array" ref="C51">_xlfn.XLOOKUP(1,(LightSpec[Location]=Table2[[#This Row],[lookup Room]]) * (LightSpec[DiagNo]=Table2[[#This Row],[lookup Device]]), LightSpec[startinput])</f>
        <v>0</v>
      </c>
      <c r="D51" t="s">
        <v>447</v>
      </c>
      <c r="E51" t="s">
        <v>503</v>
      </c>
      <c r="F51" t="str" cm="1">
        <f t="array" aca="1" ref="F51" ca="1">_xlfn.LET(
  _xlpm.txt, _xlfn.XLOOKUP(1,(LightSpec[Location]=Table2[[#This Row],[lookup Room]]) * (LightSpec[DiagNo]=Table2[[#This Row],[lookup Device]]),LightSpec[From]),
  _xlpm.n, LEN(_xlpm.txt),
  _xlpm.pos, MATCH(FALSE, ISNUMBER(MID(_xlpm.txt, ROW(INDIRECT("2:" &amp; _xlpm.n)), 1)*1), 0),
  LEFT(_xlpm.txt, _xlpm.pos)
)</f>
        <v>D3</v>
      </c>
      <c r="G51">
        <f>_xlfn.XLOOKUP(Table2[[#This Row],[Trigger]],SwitchButtons[switch],SwitchButtons[input])+Table2[[#This Row],[start]]</f>
        <v>2</v>
      </c>
      <c r="H51" t="s">
        <v>530</v>
      </c>
      <c r="I51" t="str">
        <f>_xlfn.XLOOKUP(Table2[[#This Row],[set1]],circuitoutputs[circuit],circuitoutputs[device])</f>
        <v>D15</v>
      </c>
      <c r="J51">
        <f>_xlfn.XLOOKUP(Table2[[#This Row],[set1]],circuitoutputs[circuit],circuitoutputs[output])</f>
        <v>0</v>
      </c>
      <c r="K51" t="s">
        <v>596</v>
      </c>
    </row>
    <row r="52" spans="1:11" hidden="1" x14ac:dyDescent="0.25">
      <c r="A52" t="s">
        <v>180</v>
      </c>
      <c r="B52" t="s">
        <v>195</v>
      </c>
      <c r="C52" cm="1">
        <f t="array" ref="C52">_xlfn.XLOOKUP(1,(LightSpec[Location]=Table2[[#This Row],[lookup Room]]) * (LightSpec[DiagNo]=Table2[[#This Row],[lookup Device]]), LightSpec[startinput])</f>
        <v>0</v>
      </c>
      <c r="D52" t="s">
        <v>447</v>
      </c>
      <c r="E52" t="s">
        <v>503</v>
      </c>
      <c r="F52" t="str" cm="1">
        <f t="array" aca="1" ref="F52" ca="1">_xlfn.LET(
  _xlpm.txt, _xlfn.XLOOKUP(1,(LightSpec[Location]=Table2[[#This Row],[lookup Room]]) * (LightSpec[DiagNo]=Table2[[#This Row],[lookup Device]]),LightSpec[From]),
  _xlpm.n, LEN(_xlpm.txt),
  _xlpm.pos, MATCH(FALSE, ISNUMBER(MID(_xlpm.txt, ROW(INDIRECT("2:" &amp; _xlpm.n)), 1)*1), 0),
  LEFT(_xlpm.txt, _xlpm.pos)
)</f>
        <v>D3</v>
      </c>
      <c r="G52">
        <f>_xlfn.XLOOKUP(Table2[[#This Row],[Trigger]],SwitchButtons[switch],SwitchButtons[input])+Table2[[#This Row],[start]]</f>
        <v>2</v>
      </c>
      <c r="H52" t="s">
        <v>565</v>
      </c>
      <c r="I52" t="str">
        <f>_xlfn.XLOOKUP(Table2[[#This Row],[set1]],circuitoutputs[circuit],circuitoutputs[device])</f>
        <v>D15</v>
      </c>
      <c r="J52">
        <f>_xlfn.XLOOKUP(Table2[[#This Row],[set1]],circuitoutputs[circuit],circuitoutputs[output])</f>
        <v>1</v>
      </c>
      <c r="K52" t="s">
        <v>596</v>
      </c>
    </row>
    <row r="53" spans="1:11" hidden="1" x14ac:dyDescent="0.25">
      <c r="A53" t="s">
        <v>180</v>
      </c>
      <c r="B53" t="s">
        <v>195</v>
      </c>
      <c r="C53" cm="1">
        <f t="array" ref="C53">_xlfn.XLOOKUP(1,(LightSpec[Location]=Table2[[#This Row],[lookup Room]]) * (LightSpec[DiagNo]=Table2[[#This Row],[lookup Device]]), LightSpec[startinput])</f>
        <v>0</v>
      </c>
      <c r="D53" t="s">
        <v>447</v>
      </c>
      <c r="E53" t="s">
        <v>503</v>
      </c>
      <c r="F53" t="str" cm="1">
        <f t="array" aca="1" ref="F53" ca="1">_xlfn.LET(
  _xlpm.txt, _xlfn.XLOOKUP(1,(LightSpec[Location]=Table2[[#This Row],[lookup Room]]) * (LightSpec[DiagNo]=Table2[[#This Row],[lookup Device]]),LightSpec[From]),
  _xlpm.n, LEN(_xlpm.txt),
  _xlpm.pos, MATCH(FALSE, ISNUMBER(MID(_xlpm.txt, ROW(INDIRECT("2:" &amp; _xlpm.n)), 1)*1), 0),
  LEFT(_xlpm.txt, _xlpm.pos)
)</f>
        <v>D3</v>
      </c>
      <c r="G53">
        <f>_xlfn.XLOOKUP(Table2[[#This Row],[Trigger]],SwitchButtons[switch],SwitchButtons[input])+Table2[[#This Row],[start]]</f>
        <v>2</v>
      </c>
      <c r="H53" t="s">
        <v>531</v>
      </c>
      <c r="I53" t="str">
        <f>_xlfn.XLOOKUP(Table2[[#This Row],[set1]],circuitoutputs[circuit],circuitoutputs[device])</f>
        <v>D16</v>
      </c>
      <c r="J53">
        <f>_xlfn.XLOOKUP(Table2[[#This Row],[set1]],circuitoutputs[circuit],circuitoutputs[output])</f>
        <v>0</v>
      </c>
      <c r="K53" t="s">
        <v>596</v>
      </c>
    </row>
    <row r="54" spans="1:11" hidden="1" x14ac:dyDescent="0.25">
      <c r="A54" t="s">
        <v>180</v>
      </c>
      <c r="B54" t="s">
        <v>195</v>
      </c>
      <c r="C54" cm="1">
        <f t="array" ref="C54">_xlfn.XLOOKUP(1,(LightSpec[Location]=Table2[[#This Row],[lookup Room]]) * (LightSpec[DiagNo]=Table2[[#This Row],[lookup Device]]), LightSpec[startinput])</f>
        <v>0</v>
      </c>
      <c r="D54" t="s">
        <v>448</v>
      </c>
      <c r="E54" t="s">
        <v>500</v>
      </c>
      <c r="F54" t="str" cm="1">
        <f t="array" aca="1" ref="F54" ca="1">_xlfn.LET(
  _xlpm.txt, _xlfn.XLOOKUP(1,(LightSpec[Location]=Table2[[#This Row],[lookup Room]]) * (LightSpec[DiagNo]=Table2[[#This Row],[lookup Device]]),LightSpec[From]),
  _xlpm.n, LEN(_xlpm.txt),
  _xlpm.pos, MATCH(FALSE, ISNUMBER(MID(_xlpm.txt, ROW(INDIRECT("2:" &amp; _xlpm.n)), 1)*1), 0),
  LEFT(_xlpm.txt, _xlpm.pos)
)</f>
        <v>D3</v>
      </c>
      <c r="G54">
        <f>_xlfn.XLOOKUP(Table2[[#This Row],[Trigger]],SwitchButtons[switch],SwitchButtons[input])+Table2[[#This Row],[start]]</f>
        <v>3</v>
      </c>
      <c r="H54" t="s">
        <v>530</v>
      </c>
      <c r="I54" t="str">
        <f>_xlfn.XLOOKUP(Table2[[#This Row],[set1]],circuitoutputs[circuit],circuitoutputs[device])</f>
        <v>D15</v>
      </c>
      <c r="J54">
        <f>_xlfn.XLOOKUP(Table2[[#This Row],[set1]],circuitoutputs[circuit],circuitoutputs[output])</f>
        <v>0</v>
      </c>
      <c r="K54" t="s">
        <v>495</v>
      </c>
    </row>
    <row r="55" spans="1:11" hidden="1" x14ac:dyDescent="0.25">
      <c r="A55" t="s">
        <v>180</v>
      </c>
      <c r="B55" t="s">
        <v>195</v>
      </c>
      <c r="C55" cm="1">
        <f t="array" ref="C55">_xlfn.XLOOKUP(1,(LightSpec[Location]=Table2[[#This Row],[lookup Room]]) * (LightSpec[DiagNo]=Table2[[#This Row],[lookup Device]]), LightSpec[startinput])</f>
        <v>0</v>
      </c>
      <c r="D55" t="s">
        <v>448</v>
      </c>
      <c r="E55" t="s">
        <v>500</v>
      </c>
      <c r="F55" t="str" cm="1">
        <f t="array" aca="1" ref="F55" ca="1">_xlfn.LET(
  _xlpm.txt, _xlfn.XLOOKUP(1,(LightSpec[Location]=Table2[[#This Row],[lookup Room]]) * (LightSpec[DiagNo]=Table2[[#This Row],[lookup Device]]),LightSpec[From]),
  _xlpm.n, LEN(_xlpm.txt),
  _xlpm.pos, MATCH(FALSE, ISNUMBER(MID(_xlpm.txt, ROW(INDIRECT("2:" &amp; _xlpm.n)), 1)*1), 0),
  LEFT(_xlpm.txt, _xlpm.pos)
)</f>
        <v>D3</v>
      </c>
      <c r="G55">
        <f>_xlfn.XLOOKUP(Table2[[#This Row],[Trigger]],SwitchButtons[switch],SwitchButtons[input])+Table2[[#This Row],[start]]</f>
        <v>3</v>
      </c>
      <c r="H55" t="s">
        <v>565</v>
      </c>
      <c r="I55" t="str">
        <f>_xlfn.XLOOKUP(Table2[[#This Row],[set1]],circuitoutputs[circuit],circuitoutputs[device])</f>
        <v>D15</v>
      </c>
      <c r="J55">
        <f>_xlfn.XLOOKUP(Table2[[#This Row],[set1]],circuitoutputs[circuit],circuitoutputs[output])</f>
        <v>1</v>
      </c>
      <c r="K55" t="s">
        <v>495</v>
      </c>
    </row>
    <row r="56" spans="1:11" hidden="1" x14ac:dyDescent="0.25">
      <c r="A56" t="s">
        <v>180</v>
      </c>
      <c r="B56" t="s">
        <v>195</v>
      </c>
      <c r="C56" cm="1">
        <f t="array" ref="C56">_xlfn.XLOOKUP(1,(LightSpec[Location]=Table2[[#This Row],[lookup Room]]) * (LightSpec[DiagNo]=Table2[[#This Row],[lookup Device]]), LightSpec[startinput])</f>
        <v>0</v>
      </c>
      <c r="D56" t="s">
        <v>448</v>
      </c>
      <c r="E56" t="s">
        <v>500</v>
      </c>
      <c r="F56" t="str" cm="1">
        <f t="array" aca="1" ref="F56" ca="1">_xlfn.LET(
  _xlpm.txt, _xlfn.XLOOKUP(1,(LightSpec[Location]=Table2[[#This Row],[lookup Room]]) * (LightSpec[DiagNo]=Table2[[#This Row],[lookup Device]]),LightSpec[From]),
  _xlpm.n, LEN(_xlpm.txt),
  _xlpm.pos, MATCH(FALSE, ISNUMBER(MID(_xlpm.txt, ROW(INDIRECT("2:" &amp; _xlpm.n)), 1)*1), 0),
  LEFT(_xlpm.txt, _xlpm.pos)
)</f>
        <v>D3</v>
      </c>
      <c r="G56">
        <f>_xlfn.XLOOKUP(Table2[[#This Row],[Trigger]],SwitchButtons[switch],SwitchButtons[input])+Table2[[#This Row],[start]]</f>
        <v>3</v>
      </c>
      <c r="H56" t="s">
        <v>531</v>
      </c>
      <c r="I56" t="str">
        <f>_xlfn.XLOOKUP(Table2[[#This Row],[set1]],circuitoutputs[circuit],circuitoutputs[device])</f>
        <v>D16</v>
      </c>
      <c r="J56">
        <f>_xlfn.XLOOKUP(Table2[[#This Row],[set1]],circuitoutputs[circuit],circuitoutputs[output])</f>
        <v>0</v>
      </c>
      <c r="K56" t="s">
        <v>495</v>
      </c>
    </row>
    <row r="57" spans="1:11" hidden="1" x14ac:dyDescent="0.25">
      <c r="A57" t="s">
        <v>180</v>
      </c>
      <c r="B57" t="s">
        <v>251</v>
      </c>
      <c r="C57" cm="1">
        <f t="array" ref="C57">_xlfn.XLOOKUP(1,(LightSpec[Location]=Table2[[#This Row],[lookup Room]]) * (LightSpec[DiagNo]=Table2[[#This Row],[lookup Device]]), LightSpec[startinput])</f>
        <v>0</v>
      </c>
      <c r="D57" t="s">
        <v>505</v>
      </c>
      <c r="E57" t="s">
        <v>588</v>
      </c>
      <c r="F57" t="str" cm="1">
        <f t="array" aca="1" ref="F57" ca="1">_xlfn.LET(
  _xlpm.txt, _xlfn.XLOOKUP(1,(LightSpec[Location]=Table2[[#This Row],[lookup Room]]) * (LightSpec[DiagNo]=Table2[[#This Row],[lookup Device]]),LightSpec[From]),
  _xlpm.n, LEN(_xlpm.txt),
  _xlpm.pos, MATCH(FALSE, ISNUMBER(MID(_xlpm.txt, ROW(INDIRECT("2:" &amp; _xlpm.n)), 1)*1), 0),
  LEFT(_xlpm.txt, _xlpm.pos)
)</f>
        <v>P1</v>
      </c>
      <c r="G57">
        <f>_xlfn.XLOOKUP(Table2[[#This Row],[Trigger]],SwitchButtons[switch],SwitchButtons[input])+Table2[[#This Row],[start]]</f>
        <v>0</v>
      </c>
      <c r="H57" t="s">
        <v>517</v>
      </c>
      <c r="I57" t="str">
        <f>_xlfn.XLOOKUP(Table2[[#This Row],[set1]],circuitoutputs[circuit],circuitoutputs[device])</f>
        <v>D2</v>
      </c>
      <c r="J57">
        <f>_xlfn.XLOOKUP(Table2[[#This Row],[set1]],circuitoutputs[circuit],circuitoutputs[output])</f>
        <v>0</v>
      </c>
      <c r="K57" t="s">
        <v>494</v>
      </c>
    </row>
    <row r="58" spans="1:11" hidden="1" x14ac:dyDescent="0.25">
      <c r="A58" t="s">
        <v>180</v>
      </c>
      <c r="B58" t="s">
        <v>251</v>
      </c>
      <c r="C58" cm="1">
        <f t="array" ref="C58">_xlfn.XLOOKUP(1,(LightSpec[Location]=Table2[[#This Row],[lookup Room]]) * (LightSpec[DiagNo]=Table2[[#This Row],[lookup Device]]), LightSpec[startinput])</f>
        <v>0</v>
      </c>
      <c r="D58" t="s">
        <v>505</v>
      </c>
      <c r="E58" t="s">
        <v>588</v>
      </c>
      <c r="F58" t="str" cm="1">
        <f t="array" aca="1" ref="F58" ca="1">_xlfn.LET(
  _xlpm.txt, _xlfn.XLOOKUP(1,(LightSpec[Location]=Table2[[#This Row],[lookup Room]]) * (LightSpec[DiagNo]=Table2[[#This Row],[lookup Device]]),LightSpec[From]),
  _xlpm.n, LEN(_xlpm.txt),
  _xlpm.pos, MATCH(FALSE, ISNUMBER(MID(_xlpm.txt, ROW(INDIRECT("2:" &amp; _xlpm.n)), 1)*1), 0),
  LEFT(_xlpm.txt, _xlpm.pos)
)</f>
        <v>P1</v>
      </c>
      <c r="G58">
        <f>_xlfn.XLOOKUP(Table2[[#This Row],[Trigger]],SwitchButtons[switch],SwitchButtons[input])+Table2[[#This Row],[start]]</f>
        <v>0</v>
      </c>
      <c r="H58" t="s">
        <v>554</v>
      </c>
      <c r="I58" t="str">
        <f>_xlfn.XLOOKUP(Table2[[#This Row],[set1]],circuitoutputs[circuit],circuitoutputs[device])</f>
        <v>D2</v>
      </c>
      <c r="J58">
        <f>_xlfn.XLOOKUP(Table2[[#This Row],[set1]],circuitoutputs[circuit],circuitoutputs[output])</f>
        <v>1</v>
      </c>
      <c r="K58" t="s">
        <v>494</v>
      </c>
    </row>
    <row r="59" spans="1:11" hidden="1" x14ac:dyDescent="0.25">
      <c r="A59" t="s">
        <v>180</v>
      </c>
      <c r="B59" t="s">
        <v>251</v>
      </c>
      <c r="C59" cm="1">
        <f t="array" ref="C59">_xlfn.XLOOKUP(1,(LightSpec[Location]=Table2[[#This Row],[lookup Room]]) * (LightSpec[DiagNo]=Table2[[#This Row],[lookup Device]]), LightSpec[startinput])</f>
        <v>0</v>
      </c>
      <c r="D59" t="s">
        <v>505</v>
      </c>
      <c r="E59" t="s">
        <v>589</v>
      </c>
      <c r="F59" t="str" cm="1">
        <f t="array" aca="1" ref="F59" ca="1">_xlfn.LET(
  _xlpm.txt, _xlfn.XLOOKUP(1,(LightSpec[Location]=Table2[[#This Row],[lookup Room]]) * (LightSpec[DiagNo]=Table2[[#This Row],[lookup Device]]),LightSpec[From]),
  _xlpm.n, LEN(_xlpm.txt),
  _xlpm.pos, MATCH(FALSE, ISNUMBER(MID(_xlpm.txt, ROW(INDIRECT("2:" &amp; _xlpm.n)), 1)*1), 0),
  LEFT(_xlpm.txt, _xlpm.pos)
)</f>
        <v>P1</v>
      </c>
      <c r="G59">
        <f>_xlfn.XLOOKUP(Table2[[#This Row],[Trigger]],SwitchButtons[switch],SwitchButtons[input])+Table2[[#This Row],[start]]</f>
        <v>0</v>
      </c>
      <c r="H59" t="s">
        <v>517</v>
      </c>
      <c r="I59" t="str">
        <f>_xlfn.XLOOKUP(Table2[[#This Row],[set1]],circuitoutputs[circuit],circuitoutputs[device])</f>
        <v>D2</v>
      </c>
      <c r="J59">
        <f>_xlfn.XLOOKUP(Table2[[#This Row],[set1]],circuitoutputs[circuit],circuitoutputs[output])</f>
        <v>0</v>
      </c>
      <c r="K59" t="s">
        <v>495</v>
      </c>
    </row>
    <row r="60" spans="1:11" hidden="1" x14ac:dyDescent="0.25">
      <c r="A60" t="s">
        <v>180</v>
      </c>
      <c r="B60" t="s">
        <v>251</v>
      </c>
      <c r="C60" cm="1">
        <f t="array" ref="C60">_xlfn.XLOOKUP(1,(LightSpec[Location]=Table2[[#This Row],[lookup Room]]) * (LightSpec[DiagNo]=Table2[[#This Row],[lookup Device]]), LightSpec[startinput])</f>
        <v>0</v>
      </c>
      <c r="D60" t="s">
        <v>505</v>
      </c>
      <c r="E60" t="s">
        <v>589</v>
      </c>
      <c r="F60" t="str" cm="1">
        <f t="array" aca="1" ref="F60" ca="1">_xlfn.LET(
  _xlpm.txt, _xlfn.XLOOKUP(1,(LightSpec[Location]=Table2[[#This Row],[lookup Room]]) * (LightSpec[DiagNo]=Table2[[#This Row],[lookup Device]]),LightSpec[From]),
  _xlpm.n, LEN(_xlpm.txt),
  _xlpm.pos, MATCH(FALSE, ISNUMBER(MID(_xlpm.txt, ROW(INDIRECT("2:" &amp; _xlpm.n)), 1)*1), 0),
  LEFT(_xlpm.txt, _xlpm.pos)
)</f>
        <v>P1</v>
      </c>
      <c r="G60">
        <f>_xlfn.XLOOKUP(Table2[[#This Row],[Trigger]],SwitchButtons[switch],SwitchButtons[input])+Table2[[#This Row],[start]]</f>
        <v>0</v>
      </c>
      <c r="H60" t="s">
        <v>554</v>
      </c>
      <c r="I60" t="str">
        <f>_xlfn.XLOOKUP(Table2[[#This Row],[set1]],circuitoutputs[circuit],circuitoutputs[device])</f>
        <v>D2</v>
      </c>
      <c r="J60">
        <f>_xlfn.XLOOKUP(Table2[[#This Row],[set1]],circuitoutputs[circuit],circuitoutputs[output])</f>
        <v>1</v>
      </c>
      <c r="K60" t="s">
        <v>495</v>
      </c>
    </row>
    <row r="61" spans="1:11" hidden="1" x14ac:dyDescent="0.25">
      <c r="A61" t="s">
        <v>129</v>
      </c>
      <c r="B61" t="s">
        <v>192</v>
      </c>
      <c r="C61" cm="1">
        <f t="array" ref="C61">_xlfn.XLOOKUP(1,(LightSpec[Location]=Table2[[#This Row],[lookup Room]]) * (LightSpec[DiagNo]=Table2[[#This Row],[lookup Device]]), LightSpec[startinput])</f>
        <v>0</v>
      </c>
      <c r="D61" t="s">
        <v>445</v>
      </c>
      <c r="E61" t="s">
        <v>500</v>
      </c>
      <c r="F61" t="str" cm="1">
        <f t="array" aca="1" ref="F61" ca="1">_xlfn.LET(
  _xlpm.txt, _xlfn.XLOOKUP(1,(LightSpec[Location]=Table2[[#This Row],[lookup Room]]) * (LightSpec[DiagNo]=Table2[[#This Row],[lookup Device]]),LightSpec[From]),
  _xlpm.n, LEN(_xlpm.txt),
  _xlpm.pos, MATCH(FALSE, ISNUMBER(MID(_xlpm.txt, ROW(INDIRECT("2:" &amp; _xlpm.n)), 1)*1), 0),
  LEFT(_xlpm.txt, _xlpm.pos)
)</f>
        <v>D15</v>
      </c>
      <c r="G61">
        <f>_xlfn.XLOOKUP(Table2[[#This Row],[Trigger]],SwitchButtons[switch],SwitchButtons[input])+Table2[[#This Row],[start]]</f>
        <v>0</v>
      </c>
      <c r="H61" t="s">
        <v>566</v>
      </c>
      <c r="I61" t="str">
        <f>_xlfn.XLOOKUP(Table2[[#This Row],[set1]],circuitoutputs[circuit],circuitoutputs[device])</f>
        <v>D16</v>
      </c>
      <c r="J61">
        <f>_xlfn.XLOOKUP(Table2[[#This Row],[set1]],circuitoutputs[circuit],circuitoutputs[output])</f>
        <v>1</v>
      </c>
      <c r="K61" t="s">
        <v>494</v>
      </c>
    </row>
    <row r="62" spans="1:11" hidden="1" x14ac:dyDescent="0.25">
      <c r="A62" t="s">
        <v>129</v>
      </c>
      <c r="B62" t="s">
        <v>192</v>
      </c>
      <c r="C62" cm="1">
        <f t="array" ref="C62">_xlfn.XLOOKUP(1,(LightSpec[Location]=Table2[[#This Row],[lookup Room]]) * (LightSpec[DiagNo]=Table2[[#This Row],[lookup Device]]), LightSpec[startinput])</f>
        <v>0</v>
      </c>
      <c r="D62" t="s">
        <v>445</v>
      </c>
      <c r="E62" t="s">
        <v>500</v>
      </c>
      <c r="F62" t="str" cm="1">
        <f t="array" aca="1" ref="F62" ca="1">_xlfn.LET(
  _xlpm.txt, _xlfn.XLOOKUP(1,(LightSpec[Location]=Table2[[#This Row],[lookup Room]]) * (LightSpec[DiagNo]=Table2[[#This Row],[lookup Device]]),LightSpec[From]),
  _xlpm.n, LEN(_xlpm.txt),
  _xlpm.pos, MATCH(FALSE, ISNUMBER(MID(_xlpm.txt, ROW(INDIRECT("2:" &amp; _xlpm.n)), 1)*1), 0),
  LEFT(_xlpm.txt, _xlpm.pos)
)</f>
        <v>D15</v>
      </c>
      <c r="G62">
        <f>_xlfn.XLOOKUP(Table2[[#This Row],[Trigger]],SwitchButtons[switch],SwitchButtons[input])+Table2[[#This Row],[start]]</f>
        <v>0</v>
      </c>
      <c r="H62" t="s">
        <v>532</v>
      </c>
      <c r="I62" t="str">
        <f>_xlfn.XLOOKUP(Table2[[#This Row],[set1]],circuitoutputs[circuit],circuitoutputs[device])</f>
        <v>D17</v>
      </c>
      <c r="J62">
        <f>_xlfn.XLOOKUP(Table2[[#This Row],[set1]],circuitoutputs[circuit],circuitoutputs[output])</f>
        <v>0</v>
      </c>
      <c r="K62" t="s">
        <v>494</v>
      </c>
    </row>
    <row r="63" spans="1:11" hidden="1" x14ac:dyDescent="0.25">
      <c r="A63" t="s">
        <v>129</v>
      </c>
      <c r="B63" t="s">
        <v>192</v>
      </c>
      <c r="C63" cm="1">
        <f t="array" ref="C63">_xlfn.XLOOKUP(1,(LightSpec[Location]=Table2[[#This Row],[lookup Room]]) * (LightSpec[DiagNo]=Table2[[#This Row],[lookup Device]]), LightSpec[startinput])</f>
        <v>0</v>
      </c>
      <c r="D63" t="s">
        <v>445</v>
      </c>
      <c r="E63" t="s">
        <v>500</v>
      </c>
      <c r="F63" t="str" cm="1">
        <f t="array" aca="1" ref="F63" ca="1">_xlfn.LET(
  _xlpm.txt, _xlfn.XLOOKUP(1,(LightSpec[Location]=Table2[[#This Row],[lookup Room]]) * (LightSpec[DiagNo]=Table2[[#This Row],[lookup Device]]),LightSpec[From]),
  _xlpm.n, LEN(_xlpm.txt),
  _xlpm.pos, MATCH(FALSE, ISNUMBER(MID(_xlpm.txt, ROW(INDIRECT("2:" &amp; _xlpm.n)), 1)*1), 0),
  LEFT(_xlpm.txt, _xlpm.pos)
)</f>
        <v>D15</v>
      </c>
      <c r="G63">
        <f>_xlfn.XLOOKUP(Table2[[#This Row],[Trigger]],SwitchButtons[switch],SwitchButtons[input])+Table2[[#This Row],[start]]</f>
        <v>0</v>
      </c>
      <c r="H63" t="s">
        <v>567</v>
      </c>
      <c r="I63" t="str">
        <f>_xlfn.XLOOKUP(Table2[[#This Row],[set1]],circuitoutputs[circuit],circuitoutputs[device])</f>
        <v>D17</v>
      </c>
      <c r="J63">
        <f>_xlfn.XLOOKUP(Table2[[#This Row],[set1]],circuitoutputs[circuit],circuitoutputs[output])</f>
        <v>1</v>
      </c>
      <c r="K63" t="s">
        <v>494</v>
      </c>
    </row>
    <row r="64" spans="1:11" hidden="1" x14ac:dyDescent="0.25">
      <c r="A64" t="s">
        <v>129</v>
      </c>
      <c r="B64" t="s">
        <v>192</v>
      </c>
      <c r="C64" cm="1">
        <f t="array" ref="C64">_xlfn.XLOOKUP(1,(LightSpec[Location]=Table2[[#This Row],[lookup Room]]) * (LightSpec[DiagNo]=Table2[[#This Row],[lookup Device]]), LightSpec[startinput])</f>
        <v>0</v>
      </c>
      <c r="D64" t="s">
        <v>445</v>
      </c>
      <c r="E64" t="s">
        <v>500</v>
      </c>
      <c r="F64" t="str" cm="1">
        <f t="array" aca="1" ref="F64" ca="1">_xlfn.LET(
  _xlpm.txt, _xlfn.XLOOKUP(1,(LightSpec[Location]=Table2[[#This Row],[lookup Room]]) * (LightSpec[DiagNo]=Table2[[#This Row],[lookup Device]]),LightSpec[From]),
  _xlpm.n, LEN(_xlpm.txt),
  _xlpm.pos, MATCH(FALSE, ISNUMBER(MID(_xlpm.txt, ROW(INDIRECT("2:" &amp; _xlpm.n)), 1)*1), 0),
  LEFT(_xlpm.txt, _xlpm.pos)
)</f>
        <v>D15</v>
      </c>
      <c r="G64">
        <f>_xlfn.XLOOKUP(Table2[[#This Row],[Trigger]],SwitchButtons[switch],SwitchButtons[input])+Table2[[#This Row],[start]]</f>
        <v>0</v>
      </c>
      <c r="H64" t="s">
        <v>533</v>
      </c>
      <c r="I64" t="str">
        <f>_xlfn.XLOOKUP(Table2[[#This Row],[set1]],circuitoutputs[circuit],circuitoutputs[device])</f>
        <v>D18</v>
      </c>
      <c r="J64">
        <f>_xlfn.XLOOKUP(Table2[[#This Row],[set1]],circuitoutputs[circuit],circuitoutputs[output])</f>
        <v>0</v>
      </c>
      <c r="K64" t="s">
        <v>494</v>
      </c>
    </row>
    <row r="65" spans="1:11" hidden="1" x14ac:dyDescent="0.25">
      <c r="A65" t="s">
        <v>129</v>
      </c>
      <c r="B65" t="s">
        <v>192</v>
      </c>
      <c r="C65" cm="1">
        <f t="array" ref="C65">_xlfn.XLOOKUP(1,(LightSpec[Location]=Table2[[#This Row],[lookup Room]]) * (LightSpec[DiagNo]=Table2[[#This Row],[lookup Device]]), LightSpec[startinput])</f>
        <v>0</v>
      </c>
      <c r="D65" t="s">
        <v>445</v>
      </c>
      <c r="E65" t="s">
        <v>503</v>
      </c>
      <c r="F65" t="str" cm="1">
        <f t="array" aca="1" ref="F65" ca="1">_xlfn.LET(
  _xlpm.txt, _xlfn.XLOOKUP(1,(LightSpec[Location]=Table2[[#This Row],[lookup Room]]) * (LightSpec[DiagNo]=Table2[[#This Row],[lookup Device]]),LightSpec[From]),
  _xlpm.n, LEN(_xlpm.txt),
  _xlpm.pos, MATCH(FALSE, ISNUMBER(MID(_xlpm.txt, ROW(INDIRECT("2:" &amp; _xlpm.n)), 1)*1), 0),
  LEFT(_xlpm.txt, _xlpm.pos)
)</f>
        <v>D15</v>
      </c>
      <c r="G65">
        <f>_xlfn.XLOOKUP(Table2[[#This Row],[Trigger]],SwitchButtons[switch],SwitchButtons[input])+Table2[[#This Row],[start]]</f>
        <v>0</v>
      </c>
      <c r="H65" t="s">
        <v>566</v>
      </c>
      <c r="I65" t="str">
        <f>_xlfn.XLOOKUP(Table2[[#This Row],[set1]],circuitoutputs[circuit],circuitoutputs[device])</f>
        <v>D16</v>
      </c>
      <c r="J65">
        <f>_xlfn.XLOOKUP(Table2[[#This Row],[set1]],circuitoutputs[circuit],circuitoutputs[output])</f>
        <v>1</v>
      </c>
      <c r="K65" t="s">
        <v>596</v>
      </c>
    </row>
    <row r="66" spans="1:11" hidden="1" x14ac:dyDescent="0.25">
      <c r="A66" t="s">
        <v>129</v>
      </c>
      <c r="B66" t="s">
        <v>192</v>
      </c>
      <c r="C66" cm="1">
        <f t="array" ref="C66">_xlfn.XLOOKUP(1,(LightSpec[Location]=Table2[[#This Row],[lookup Room]]) * (LightSpec[DiagNo]=Table2[[#This Row],[lookup Device]]), LightSpec[startinput])</f>
        <v>0</v>
      </c>
      <c r="D66" t="s">
        <v>445</v>
      </c>
      <c r="E66" t="s">
        <v>503</v>
      </c>
      <c r="F66" t="str" cm="1">
        <f t="array" aca="1" ref="F66" ca="1">_xlfn.LET(
  _xlpm.txt, _xlfn.XLOOKUP(1,(LightSpec[Location]=Table2[[#This Row],[lookup Room]]) * (LightSpec[DiagNo]=Table2[[#This Row],[lookup Device]]),LightSpec[From]),
  _xlpm.n, LEN(_xlpm.txt),
  _xlpm.pos, MATCH(FALSE, ISNUMBER(MID(_xlpm.txt, ROW(INDIRECT("2:" &amp; _xlpm.n)), 1)*1), 0),
  LEFT(_xlpm.txt, _xlpm.pos)
)</f>
        <v>D15</v>
      </c>
      <c r="G66">
        <f>_xlfn.XLOOKUP(Table2[[#This Row],[Trigger]],SwitchButtons[switch],SwitchButtons[input])+Table2[[#This Row],[start]]</f>
        <v>0</v>
      </c>
      <c r="H66" t="s">
        <v>532</v>
      </c>
      <c r="I66" t="str">
        <f>_xlfn.XLOOKUP(Table2[[#This Row],[set1]],circuitoutputs[circuit],circuitoutputs[device])</f>
        <v>D17</v>
      </c>
      <c r="J66">
        <f>_xlfn.XLOOKUP(Table2[[#This Row],[set1]],circuitoutputs[circuit],circuitoutputs[output])</f>
        <v>0</v>
      </c>
      <c r="K66" t="s">
        <v>596</v>
      </c>
    </row>
    <row r="67" spans="1:11" hidden="1" x14ac:dyDescent="0.25">
      <c r="A67" t="s">
        <v>129</v>
      </c>
      <c r="B67" t="s">
        <v>192</v>
      </c>
      <c r="C67" cm="1">
        <f t="array" ref="C67">_xlfn.XLOOKUP(1,(LightSpec[Location]=Table2[[#This Row],[lookup Room]]) * (LightSpec[DiagNo]=Table2[[#This Row],[lookup Device]]), LightSpec[startinput])</f>
        <v>0</v>
      </c>
      <c r="D67" t="s">
        <v>445</v>
      </c>
      <c r="E67" t="s">
        <v>503</v>
      </c>
      <c r="F67" t="str" cm="1">
        <f t="array" aca="1" ref="F67" ca="1">_xlfn.LET(
  _xlpm.txt, _xlfn.XLOOKUP(1,(LightSpec[Location]=Table2[[#This Row],[lookup Room]]) * (LightSpec[DiagNo]=Table2[[#This Row],[lookup Device]]),LightSpec[From]),
  _xlpm.n, LEN(_xlpm.txt),
  _xlpm.pos, MATCH(FALSE, ISNUMBER(MID(_xlpm.txt, ROW(INDIRECT("2:" &amp; _xlpm.n)), 1)*1), 0),
  LEFT(_xlpm.txt, _xlpm.pos)
)</f>
        <v>D15</v>
      </c>
      <c r="G67">
        <f>_xlfn.XLOOKUP(Table2[[#This Row],[Trigger]],SwitchButtons[switch],SwitchButtons[input])+Table2[[#This Row],[start]]</f>
        <v>0</v>
      </c>
      <c r="H67" t="s">
        <v>567</v>
      </c>
      <c r="I67" t="str">
        <f>_xlfn.XLOOKUP(Table2[[#This Row],[set1]],circuitoutputs[circuit],circuitoutputs[device])</f>
        <v>D17</v>
      </c>
      <c r="J67">
        <f>_xlfn.XLOOKUP(Table2[[#This Row],[set1]],circuitoutputs[circuit],circuitoutputs[output])</f>
        <v>1</v>
      </c>
      <c r="K67" t="s">
        <v>596</v>
      </c>
    </row>
    <row r="68" spans="1:11" hidden="1" x14ac:dyDescent="0.25">
      <c r="A68" t="s">
        <v>129</v>
      </c>
      <c r="B68" t="s">
        <v>192</v>
      </c>
      <c r="C68" cm="1">
        <f t="array" ref="C68">_xlfn.XLOOKUP(1,(LightSpec[Location]=Table2[[#This Row],[lookup Room]]) * (LightSpec[DiagNo]=Table2[[#This Row],[lookup Device]]), LightSpec[startinput])</f>
        <v>0</v>
      </c>
      <c r="D68" t="s">
        <v>445</v>
      </c>
      <c r="E68" t="s">
        <v>503</v>
      </c>
      <c r="F68" t="str" cm="1">
        <f t="array" aca="1" ref="F68" ca="1">_xlfn.LET(
  _xlpm.txt, _xlfn.XLOOKUP(1,(LightSpec[Location]=Table2[[#This Row],[lookup Room]]) * (LightSpec[DiagNo]=Table2[[#This Row],[lookup Device]]),LightSpec[From]),
  _xlpm.n, LEN(_xlpm.txt),
  _xlpm.pos, MATCH(FALSE, ISNUMBER(MID(_xlpm.txt, ROW(INDIRECT("2:" &amp; _xlpm.n)), 1)*1), 0),
  LEFT(_xlpm.txt, _xlpm.pos)
)</f>
        <v>D15</v>
      </c>
      <c r="G68">
        <f>_xlfn.XLOOKUP(Table2[[#This Row],[Trigger]],SwitchButtons[switch],SwitchButtons[input])+Table2[[#This Row],[start]]</f>
        <v>0</v>
      </c>
      <c r="H68" t="s">
        <v>533</v>
      </c>
      <c r="I68" t="str">
        <f>_xlfn.XLOOKUP(Table2[[#This Row],[set1]],circuitoutputs[circuit],circuitoutputs[device])</f>
        <v>D18</v>
      </c>
      <c r="J68">
        <f>_xlfn.XLOOKUP(Table2[[#This Row],[set1]],circuitoutputs[circuit],circuitoutputs[output])</f>
        <v>0</v>
      </c>
      <c r="K68" t="s">
        <v>596</v>
      </c>
    </row>
    <row r="69" spans="1:11" hidden="1" x14ac:dyDescent="0.25">
      <c r="A69" t="s">
        <v>129</v>
      </c>
      <c r="B69" t="s">
        <v>192</v>
      </c>
      <c r="C69" cm="1">
        <f t="array" ref="C69">_xlfn.XLOOKUP(1,(LightSpec[Location]=Table2[[#This Row],[lookup Room]]) * (LightSpec[DiagNo]=Table2[[#This Row],[lookup Device]]), LightSpec[startinput])</f>
        <v>0</v>
      </c>
      <c r="D69" t="s">
        <v>446</v>
      </c>
      <c r="E69" t="s">
        <v>500</v>
      </c>
      <c r="F69" t="str" cm="1">
        <f t="array" aca="1" ref="F69" ca="1">_xlfn.LET(
  _xlpm.txt, _xlfn.XLOOKUP(1,(LightSpec[Location]=Table2[[#This Row],[lookup Room]]) * (LightSpec[DiagNo]=Table2[[#This Row],[lookup Device]]),LightSpec[From]),
  _xlpm.n, LEN(_xlpm.txt),
  _xlpm.pos, MATCH(FALSE, ISNUMBER(MID(_xlpm.txt, ROW(INDIRECT("2:" &amp; _xlpm.n)), 1)*1), 0),
  LEFT(_xlpm.txt, _xlpm.pos)
)</f>
        <v>D15</v>
      </c>
      <c r="G69">
        <f>_xlfn.XLOOKUP(Table2[[#This Row],[Trigger]],SwitchButtons[switch],SwitchButtons[input])+Table2[[#This Row],[start]]</f>
        <v>1</v>
      </c>
      <c r="H69" t="s">
        <v>566</v>
      </c>
      <c r="I69" t="str">
        <f>_xlfn.XLOOKUP(Table2[[#This Row],[set1]],circuitoutputs[circuit],circuitoutputs[device])</f>
        <v>D16</v>
      </c>
      <c r="J69">
        <f>_xlfn.XLOOKUP(Table2[[#This Row],[set1]],circuitoutputs[circuit],circuitoutputs[output])</f>
        <v>1</v>
      </c>
      <c r="K69" t="s">
        <v>495</v>
      </c>
    </row>
    <row r="70" spans="1:11" hidden="1" x14ac:dyDescent="0.25">
      <c r="A70" t="s">
        <v>129</v>
      </c>
      <c r="B70" t="s">
        <v>192</v>
      </c>
      <c r="C70" cm="1">
        <f t="array" ref="C70">_xlfn.XLOOKUP(1,(LightSpec[Location]=Table2[[#This Row],[lookup Room]]) * (LightSpec[DiagNo]=Table2[[#This Row],[lookup Device]]), LightSpec[startinput])</f>
        <v>0</v>
      </c>
      <c r="D70" t="s">
        <v>446</v>
      </c>
      <c r="E70" t="s">
        <v>500</v>
      </c>
      <c r="F70" t="str" cm="1">
        <f t="array" aca="1" ref="F70" ca="1">_xlfn.LET(
  _xlpm.txt, _xlfn.XLOOKUP(1,(LightSpec[Location]=Table2[[#This Row],[lookup Room]]) * (LightSpec[DiagNo]=Table2[[#This Row],[lookup Device]]),LightSpec[From]),
  _xlpm.n, LEN(_xlpm.txt),
  _xlpm.pos, MATCH(FALSE, ISNUMBER(MID(_xlpm.txt, ROW(INDIRECT("2:" &amp; _xlpm.n)), 1)*1), 0),
  LEFT(_xlpm.txt, _xlpm.pos)
)</f>
        <v>D15</v>
      </c>
      <c r="G70">
        <f>_xlfn.XLOOKUP(Table2[[#This Row],[Trigger]],SwitchButtons[switch],SwitchButtons[input])+Table2[[#This Row],[start]]</f>
        <v>1</v>
      </c>
      <c r="H70" t="s">
        <v>532</v>
      </c>
      <c r="I70" t="str">
        <f>_xlfn.XLOOKUP(Table2[[#This Row],[set1]],circuitoutputs[circuit],circuitoutputs[device])</f>
        <v>D17</v>
      </c>
      <c r="J70">
        <f>_xlfn.XLOOKUP(Table2[[#This Row],[set1]],circuitoutputs[circuit],circuitoutputs[output])</f>
        <v>0</v>
      </c>
      <c r="K70" t="s">
        <v>495</v>
      </c>
    </row>
    <row r="71" spans="1:11" hidden="1" x14ac:dyDescent="0.25">
      <c r="A71" t="s">
        <v>129</v>
      </c>
      <c r="B71" t="s">
        <v>192</v>
      </c>
      <c r="C71" cm="1">
        <f t="array" ref="C71">_xlfn.XLOOKUP(1,(LightSpec[Location]=Table2[[#This Row],[lookup Room]]) * (LightSpec[DiagNo]=Table2[[#This Row],[lookup Device]]), LightSpec[startinput])</f>
        <v>0</v>
      </c>
      <c r="D71" t="s">
        <v>446</v>
      </c>
      <c r="E71" t="s">
        <v>500</v>
      </c>
      <c r="F71" t="str" cm="1">
        <f t="array" aca="1" ref="F71" ca="1">_xlfn.LET(
  _xlpm.txt, _xlfn.XLOOKUP(1,(LightSpec[Location]=Table2[[#This Row],[lookup Room]]) * (LightSpec[DiagNo]=Table2[[#This Row],[lookup Device]]),LightSpec[From]),
  _xlpm.n, LEN(_xlpm.txt),
  _xlpm.pos, MATCH(FALSE, ISNUMBER(MID(_xlpm.txt, ROW(INDIRECT("2:" &amp; _xlpm.n)), 1)*1), 0),
  LEFT(_xlpm.txt, _xlpm.pos)
)</f>
        <v>D15</v>
      </c>
      <c r="G71">
        <f>_xlfn.XLOOKUP(Table2[[#This Row],[Trigger]],SwitchButtons[switch],SwitchButtons[input])+Table2[[#This Row],[start]]</f>
        <v>1</v>
      </c>
      <c r="H71" t="s">
        <v>567</v>
      </c>
      <c r="I71" t="str">
        <f>_xlfn.XLOOKUP(Table2[[#This Row],[set1]],circuitoutputs[circuit],circuitoutputs[device])</f>
        <v>D17</v>
      </c>
      <c r="J71">
        <f>_xlfn.XLOOKUP(Table2[[#This Row],[set1]],circuitoutputs[circuit],circuitoutputs[output])</f>
        <v>1</v>
      </c>
      <c r="K71" t="s">
        <v>495</v>
      </c>
    </row>
    <row r="72" spans="1:11" hidden="1" x14ac:dyDescent="0.25">
      <c r="A72" t="s">
        <v>129</v>
      </c>
      <c r="B72" t="s">
        <v>192</v>
      </c>
      <c r="C72" cm="1">
        <f t="array" ref="C72">_xlfn.XLOOKUP(1,(LightSpec[Location]=Table2[[#This Row],[lookup Room]]) * (LightSpec[DiagNo]=Table2[[#This Row],[lookup Device]]), LightSpec[startinput])</f>
        <v>0</v>
      </c>
      <c r="D72" t="s">
        <v>446</v>
      </c>
      <c r="E72" t="s">
        <v>500</v>
      </c>
      <c r="F72" t="str" cm="1">
        <f t="array" aca="1" ref="F72" ca="1">_xlfn.LET(
  _xlpm.txt, _xlfn.XLOOKUP(1,(LightSpec[Location]=Table2[[#This Row],[lookup Room]]) * (LightSpec[DiagNo]=Table2[[#This Row],[lookup Device]]),LightSpec[From]),
  _xlpm.n, LEN(_xlpm.txt),
  _xlpm.pos, MATCH(FALSE, ISNUMBER(MID(_xlpm.txt, ROW(INDIRECT("2:" &amp; _xlpm.n)), 1)*1), 0),
  LEFT(_xlpm.txt, _xlpm.pos)
)</f>
        <v>D15</v>
      </c>
      <c r="G72">
        <f>_xlfn.XLOOKUP(Table2[[#This Row],[Trigger]],SwitchButtons[switch],SwitchButtons[input])+Table2[[#This Row],[start]]</f>
        <v>1</v>
      </c>
      <c r="H72" t="s">
        <v>533</v>
      </c>
      <c r="I72" t="str">
        <f>_xlfn.XLOOKUP(Table2[[#This Row],[set1]],circuitoutputs[circuit],circuitoutputs[device])</f>
        <v>D18</v>
      </c>
      <c r="J72">
        <f>_xlfn.XLOOKUP(Table2[[#This Row],[set1]],circuitoutputs[circuit],circuitoutputs[output])</f>
        <v>0</v>
      </c>
      <c r="K72" t="s">
        <v>495</v>
      </c>
    </row>
    <row r="73" spans="1:11" hidden="1" x14ac:dyDescent="0.25">
      <c r="A73" t="s">
        <v>129</v>
      </c>
      <c r="B73" t="s">
        <v>192</v>
      </c>
      <c r="C73" cm="1">
        <f t="array" ref="C73">_xlfn.XLOOKUP(1,(LightSpec[Location]=Table2[[#This Row],[lookup Room]]) * (LightSpec[DiagNo]=Table2[[#This Row],[lookup Device]]), LightSpec[startinput])</f>
        <v>0</v>
      </c>
      <c r="D73" t="s">
        <v>447</v>
      </c>
      <c r="E73" t="s">
        <v>500</v>
      </c>
      <c r="F73" t="str" cm="1">
        <f t="array" aca="1" ref="F73" ca="1">_xlfn.LET(
  _xlpm.txt, _xlfn.XLOOKUP(1,(LightSpec[Location]=Table2[[#This Row],[lookup Room]]) * (LightSpec[DiagNo]=Table2[[#This Row],[lookup Device]]),LightSpec[From]),
  _xlpm.n, LEN(_xlpm.txt),
  _xlpm.pos, MATCH(FALSE, ISNUMBER(MID(_xlpm.txt, ROW(INDIRECT("2:" &amp; _xlpm.n)), 1)*1), 0),
  LEFT(_xlpm.txt, _xlpm.pos)
)</f>
        <v>D15</v>
      </c>
      <c r="G73">
        <f>_xlfn.XLOOKUP(Table2[[#This Row],[Trigger]],SwitchButtons[switch],SwitchButtons[input])+Table2[[#This Row],[start]]</f>
        <v>2</v>
      </c>
      <c r="H73" t="s">
        <v>530</v>
      </c>
      <c r="I73" t="str">
        <f>_xlfn.XLOOKUP(Table2[[#This Row],[set1]],circuitoutputs[circuit],circuitoutputs[device])</f>
        <v>D15</v>
      </c>
      <c r="J73">
        <f>_xlfn.XLOOKUP(Table2[[#This Row],[set1]],circuitoutputs[circuit],circuitoutputs[output])</f>
        <v>0</v>
      </c>
      <c r="K73" t="s">
        <v>494</v>
      </c>
    </row>
    <row r="74" spans="1:11" hidden="1" x14ac:dyDescent="0.25">
      <c r="A74" t="s">
        <v>129</v>
      </c>
      <c r="B74" t="s">
        <v>192</v>
      </c>
      <c r="C74" cm="1">
        <f t="array" ref="C74">_xlfn.XLOOKUP(1,(LightSpec[Location]=Table2[[#This Row],[lookup Room]]) * (LightSpec[DiagNo]=Table2[[#This Row],[lookup Device]]), LightSpec[startinput])</f>
        <v>0</v>
      </c>
      <c r="D74" t="s">
        <v>447</v>
      </c>
      <c r="E74" t="s">
        <v>500</v>
      </c>
      <c r="F74" t="str" cm="1">
        <f t="array" aca="1" ref="F74" ca="1">_xlfn.LET(
  _xlpm.txt, _xlfn.XLOOKUP(1,(LightSpec[Location]=Table2[[#This Row],[lookup Room]]) * (LightSpec[DiagNo]=Table2[[#This Row],[lookup Device]]),LightSpec[From]),
  _xlpm.n, LEN(_xlpm.txt),
  _xlpm.pos, MATCH(FALSE, ISNUMBER(MID(_xlpm.txt, ROW(INDIRECT("2:" &amp; _xlpm.n)), 1)*1), 0),
  LEFT(_xlpm.txt, _xlpm.pos)
)</f>
        <v>D15</v>
      </c>
      <c r="G74">
        <f>_xlfn.XLOOKUP(Table2[[#This Row],[Trigger]],SwitchButtons[switch],SwitchButtons[input])+Table2[[#This Row],[start]]</f>
        <v>2</v>
      </c>
      <c r="H74" t="s">
        <v>565</v>
      </c>
      <c r="I74" t="str">
        <f>_xlfn.XLOOKUP(Table2[[#This Row],[set1]],circuitoutputs[circuit],circuitoutputs[device])</f>
        <v>D15</v>
      </c>
      <c r="J74">
        <f>_xlfn.XLOOKUP(Table2[[#This Row],[set1]],circuitoutputs[circuit],circuitoutputs[output])</f>
        <v>1</v>
      </c>
      <c r="K74" t="s">
        <v>494</v>
      </c>
    </row>
    <row r="75" spans="1:11" hidden="1" x14ac:dyDescent="0.25">
      <c r="A75" t="s">
        <v>129</v>
      </c>
      <c r="B75" t="s">
        <v>192</v>
      </c>
      <c r="C75" cm="1">
        <f t="array" ref="C75">_xlfn.XLOOKUP(1,(LightSpec[Location]=Table2[[#This Row],[lookup Room]]) * (LightSpec[DiagNo]=Table2[[#This Row],[lookup Device]]), LightSpec[startinput])</f>
        <v>0</v>
      </c>
      <c r="D75" t="s">
        <v>447</v>
      </c>
      <c r="E75" t="s">
        <v>500</v>
      </c>
      <c r="F75" t="str" cm="1">
        <f t="array" aca="1" ref="F75" ca="1">_xlfn.LET(
  _xlpm.txt, _xlfn.XLOOKUP(1,(LightSpec[Location]=Table2[[#This Row],[lookup Room]]) * (LightSpec[DiagNo]=Table2[[#This Row],[lookup Device]]),LightSpec[From]),
  _xlpm.n, LEN(_xlpm.txt),
  _xlpm.pos, MATCH(FALSE, ISNUMBER(MID(_xlpm.txt, ROW(INDIRECT("2:" &amp; _xlpm.n)), 1)*1), 0),
  LEFT(_xlpm.txt, _xlpm.pos)
)</f>
        <v>D15</v>
      </c>
      <c r="G75">
        <f>_xlfn.XLOOKUP(Table2[[#This Row],[Trigger]],SwitchButtons[switch],SwitchButtons[input])+Table2[[#This Row],[start]]</f>
        <v>2</v>
      </c>
      <c r="H75" t="s">
        <v>531</v>
      </c>
      <c r="I75" t="str">
        <f>_xlfn.XLOOKUP(Table2[[#This Row],[set1]],circuitoutputs[circuit],circuitoutputs[device])</f>
        <v>D16</v>
      </c>
      <c r="J75">
        <f>_xlfn.XLOOKUP(Table2[[#This Row],[set1]],circuitoutputs[circuit],circuitoutputs[output])</f>
        <v>0</v>
      </c>
      <c r="K75" t="s">
        <v>494</v>
      </c>
    </row>
    <row r="76" spans="1:11" hidden="1" x14ac:dyDescent="0.25">
      <c r="A76" t="s">
        <v>129</v>
      </c>
      <c r="B76" t="s">
        <v>192</v>
      </c>
      <c r="C76" cm="1">
        <f t="array" ref="C76">_xlfn.XLOOKUP(1,(LightSpec[Location]=Table2[[#This Row],[lookup Room]]) * (LightSpec[DiagNo]=Table2[[#This Row],[lookup Device]]), LightSpec[startinput])</f>
        <v>0</v>
      </c>
      <c r="D76" t="s">
        <v>447</v>
      </c>
      <c r="E76" t="s">
        <v>503</v>
      </c>
      <c r="F76" t="str" cm="1">
        <f t="array" aca="1" ref="F76" ca="1">_xlfn.LET(
  _xlpm.txt, _xlfn.XLOOKUP(1,(LightSpec[Location]=Table2[[#This Row],[lookup Room]]) * (LightSpec[DiagNo]=Table2[[#This Row],[lookup Device]]),LightSpec[From]),
  _xlpm.n, LEN(_xlpm.txt),
  _xlpm.pos, MATCH(FALSE, ISNUMBER(MID(_xlpm.txt, ROW(INDIRECT("2:" &amp; _xlpm.n)), 1)*1), 0),
  LEFT(_xlpm.txt, _xlpm.pos)
)</f>
        <v>D15</v>
      </c>
      <c r="G76">
        <f>_xlfn.XLOOKUP(Table2[[#This Row],[Trigger]],SwitchButtons[switch],SwitchButtons[input])+Table2[[#This Row],[start]]</f>
        <v>2</v>
      </c>
      <c r="H76" t="s">
        <v>530</v>
      </c>
      <c r="I76" t="str">
        <f>_xlfn.XLOOKUP(Table2[[#This Row],[set1]],circuitoutputs[circuit],circuitoutputs[device])</f>
        <v>D15</v>
      </c>
      <c r="J76">
        <f>_xlfn.XLOOKUP(Table2[[#This Row],[set1]],circuitoutputs[circuit],circuitoutputs[output])</f>
        <v>0</v>
      </c>
      <c r="K76" t="s">
        <v>596</v>
      </c>
    </row>
    <row r="77" spans="1:11" hidden="1" x14ac:dyDescent="0.25">
      <c r="A77" t="s">
        <v>129</v>
      </c>
      <c r="B77" t="s">
        <v>192</v>
      </c>
      <c r="C77" cm="1">
        <f t="array" ref="C77">_xlfn.XLOOKUP(1,(LightSpec[Location]=Table2[[#This Row],[lookup Room]]) * (LightSpec[DiagNo]=Table2[[#This Row],[lookup Device]]), LightSpec[startinput])</f>
        <v>0</v>
      </c>
      <c r="D77" t="s">
        <v>447</v>
      </c>
      <c r="E77" t="s">
        <v>503</v>
      </c>
      <c r="F77" t="str" cm="1">
        <f t="array" aca="1" ref="F77" ca="1">_xlfn.LET(
  _xlpm.txt, _xlfn.XLOOKUP(1,(LightSpec[Location]=Table2[[#This Row],[lookup Room]]) * (LightSpec[DiagNo]=Table2[[#This Row],[lookup Device]]),LightSpec[From]),
  _xlpm.n, LEN(_xlpm.txt),
  _xlpm.pos, MATCH(FALSE, ISNUMBER(MID(_xlpm.txt, ROW(INDIRECT("2:" &amp; _xlpm.n)), 1)*1), 0),
  LEFT(_xlpm.txt, _xlpm.pos)
)</f>
        <v>D15</v>
      </c>
      <c r="G77">
        <f>_xlfn.XLOOKUP(Table2[[#This Row],[Trigger]],SwitchButtons[switch],SwitchButtons[input])+Table2[[#This Row],[start]]</f>
        <v>2</v>
      </c>
      <c r="H77" t="s">
        <v>565</v>
      </c>
      <c r="I77" t="str">
        <f>_xlfn.XLOOKUP(Table2[[#This Row],[set1]],circuitoutputs[circuit],circuitoutputs[device])</f>
        <v>D15</v>
      </c>
      <c r="J77">
        <f>_xlfn.XLOOKUP(Table2[[#This Row],[set1]],circuitoutputs[circuit],circuitoutputs[output])</f>
        <v>1</v>
      </c>
      <c r="K77" t="s">
        <v>596</v>
      </c>
    </row>
    <row r="78" spans="1:11" hidden="1" x14ac:dyDescent="0.25">
      <c r="A78" t="s">
        <v>129</v>
      </c>
      <c r="B78" t="s">
        <v>192</v>
      </c>
      <c r="C78" cm="1">
        <f t="array" ref="C78">_xlfn.XLOOKUP(1,(LightSpec[Location]=Table2[[#This Row],[lookup Room]]) * (LightSpec[DiagNo]=Table2[[#This Row],[lookup Device]]), LightSpec[startinput])</f>
        <v>0</v>
      </c>
      <c r="D78" t="s">
        <v>447</v>
      </c>
      <c r="E78" t="s">
        <v>503</v>
      </c>
      <c r="F78" t="str" cm="1">
        <f t="array" aca="1" ref="F78" ca="1">_xlfn.LET(
  _xlpm.txt, _xlfn.XLOOKUP(1,(LightSpec[Location]=Table2[[#This Row],[lookup Room]]) * (LightSpec[DiagNo]=Table2[[#This Row],[lookup Device]]),LightSpec[From]),
  _xlpm.n, LEN(_xlpm.txt),
  _xlpm.pos, MATCH(FALSE, ISNUMBER(MID(_xlpm.txt, ROW(INDIRECT("2:" &amp; _xlpm.n)), 1)*1), 0),
  LEFT(_xlpm.txt, _xlpm.pos)
)</f>
        <v>D15</v>
      </c>
      <c r="G78">
        <f>_xlfn.XLOOKUP(Table2[[#This Row],[Trigger]],SwitchButtons[switch],SwitchButtons[input])+Table2[[#This Row],[start]]</f>
        <v>2</v>
      </c>
      <c r="H78" t="s">
        <v>531</v>
      </c>
      <c r="I78" t="str">
        <f>_xlfn.XLOOKUP(Table2[[#This Row],[set1]],circuitoutputs[circuit],circuitoutputs[device])</f>
        <v>D16</v>
      </c>
      <c r="J78">
        <f>_xlfn.XLOOKUP(Table2[[#This Row],[set1]],circuitoutputs[circuit],circuitoutputs[output])</f>
        <v>0</v>
      </c>
      <c r="K78" t="s">
        <v>596</v>
      </c>
    </row>
    <row r="79" spans="1:11" hidden="1" x14ac:dyDescent="0.25">
      <c r="A79" t="s">
        <v>129</v>
      </c>
      <c r="B79" t="s">
        <v>192</v>
      </c>
      <c r="C79" cm="1">
        <f t="array" ref="C79">_xlfn.XLOOKUP(1,(LightSpec[Location]=Table2[[#This Row],[lookup Room]]) * (LightSpec[DiagNo]=Table2[[#This Row],[lookup Device]]), LightSpec[startinput])</f>
        <v>0</v>
      </c>
      <c r="D79" t="s">
        <v>448</v>
      </c>
      <c r="E79" t="s">
        <v>500</v>
      </c>
      <c r="F79" t="str" cm="1">
        <f t="array" aca="1" ref="F79" ca="1">_xlfn.LET(
  _xlpm.txt, _xlfn.XLOOKUP(1,(LightSpec[Location]=Table2[[#This Row],[lookup Room]]) * (LightSpec[DiagNo]=Table2[[#This Row],[lookup Device]]),LightSpec[From]),
  _xlpm.n, LEN(_xlpm.txt),
  _xlpm.pos, MATCH(FALSE, ISNUMBER(MID(_xlpm.txt, ROW(INDIRECT("2:" &amp; _xlpm.n)), 1)*1), 0),
  LEFT(_xlpm.txt, _xlpm.pos)
)</f>
        <v>D15</v>
      </c>
      <c r="G79">
        <f>_xlfn.XLOOKUP(Table2[[#This Row],[Trigger]],SwitchButtons[switch],SwitchButtons[input])+Table2[[#This Row],[start]]</f>
        <v>3</v>
      </c>
      <c r="H79" t="s">
        <v>530</v>
      </c>
      <c r="I79" t="str">
        <f>_xlfn.XLOOKUP(Table2[[#This Row],[set1]],circuitoutputs[circuit],circuitoutputs[device])</f>
        <v>D15</v>
      </c>
      <c r="J79">
        <f>_xlfn.XLOOKUP(Table2[[#This Row],[set1]],circuitoutputs[circuit],circuitoutputs[output])</f>
        <v>0</v>
      </c>
      <c r="K79" t="s">
        <v>495</v>
      </c>
    </row>
    <row r="80" spans="1:11" hidden="1" x14ac:dyDescent="0.25">
      <c r="A80" t="s">
        <v>129</v>
      </c>
      <c r="B80" t="s">
        <v>192</v>
      </c>
      <c r="C80" cm="1">
        <f t="array" ref="C80">_xlfn.XLOOKUP(1,(LightSpec[Location]=Table2[[#This Row],[lookup Room]]) * (LightSpec[DiagNo]=Table2[[#This Row],[lookup Device]]), LightSpec[startinput])</f>
        <v>0</v>
      </c>
      <c r="D80" t="s">
        <v>448</v>
      </c>
      <c r="E80" t="s">
        <v>500</v>
      </c>
      <c r="F80" t="str" cm="1">
        <f t="array" aca="1" ref="F80" ca="1">_xlfn.LET(
  _xlpm.txt, _xlfn.XLOOKUP(1,(LightSpec[Location]=Table2[[#This Row],[lookup Room]]) * (LightSpec[DiagNo]=Table2[[#This Row],[lookup Device]]),LightSpec[From]),
  _xlpm.n, LEN(_xlpm.txt),
  _xlpm.pos, MATCH(FALSE, ISNUMBER(MID(_xlpm.txt, ROW(INDIRECT("2:" &amp; _xlpm.n)), 1)*1), 0),
  LEFT(_xlpm.txt, _xlpm.pos)
)</f>
        <v>D15</v>
      </c>
      <c r="G80">
        <f>_xlfn.XLOOKUP(Table2[[#This Row],[Trigger]],SwitchButtons[switch],SwitchButtons[input])+Table2[[#This Row],[start]]</f>
        <v>3</v>
      </c>
      <c r="H80" t="s">
        <v>565</v>
      </c>
      <c r="I80" t="str">
        <f>_xlfn.XLOOKUP(Table2[[#This Row],[set1]],circuitoutputs[circuit],circuitoutputs[device])</f>
        <v>D15</v>
      </c>
      <c r="J80">
        <f>_xlfn.XLOOKUP(Table2[[#This Row],[set1]],circuitoutputs[circuit],circuitoutputs[output])</f>
        <v>1</v>
      </c>
      <c r="K80" t="s">
        <v>495</v>
      </c>
    </row>
    <row r="81" spans="1:11" hidden="1" x14ac:dyDescent="0.25">
      <c r="A81" t="s">
        <v>129</v>
      </c>
      <c r="B81" t="s">
        <v>192</v>
      </c>
      <c r="C81" cm="1">
        <f t="array" ref="C81">_xlfn.XLOOKUP(1,(LightSpec[Location]=Table2[[#This Row],[lookup Room]]) * (LightSpec[DiagNo]=Table2[[#This Row],[lookup Device]]), LightSpec[startinput])</f>
        <v>0</v>
      </c>
      <c r="D81" t="s">
        <v>448</v>
      </c>
      <c r="E81" t="s">
        <v>500</v>
      </c>
      <c r="F81" t="str" cm="1">
        <f t="array" aca="1" ref="F81" ca="1">_xlfn.LET(
  _xlpm.txt, _xlfn.XLOOKUP(1,(LightSpec[Location]=Table2[[#This Row],[lookup Room]]) * (LightSpec[DiagNo]=Table2[[#This Row],[lookup Device]]),LightSpec[From]),
  _xlpm.n, LEN(_xlpm.txt),
  _xlpm.pos, MATCH(FALSE, ISNUMBER(MID(_xlpm.txt, ROW(INDIRECT("2:" &amp; _xlpm.n)), 1)*1), 0),
  LEFT(_xlpm.txt, _xlpm.pos)
)</f>
        <v>D15</v>
      </c>
      <c r="G81">
        <f>_xlfn.XLOOKUP(Table2[[#This Row],[Trigger]],SwitchButtons[switch],SwitchButtons[input])+Table2[[#This Row],[start]]</f>
        <v>3</v>
      </c>
      <c r="H81" t="s">
        <v>531</v>
      </c>
      <c r="I81" t="str">
        <f>_xlfn.XLOOKUP(Table2[[#This Row],[set1]],circuitoutputs[circuit],circuitoutputs[device])</f>
        <v>D16</v>
      </c>
      <c r="J81">
        <f>_xlfn.XLOOKUP(Table2[[#This Row],[set1]],circuitoutputs[circuit],circuitoutputs[output])</f>
        <v>0</v>
      </c>
      <c r="K81" t="s">
        <v>495</v>
      </c>
    </row>
    <row r="82" spans="1:11" hidden="1" x14ac:dyDescent="0.25">
      <c r="A82" t="s">
        <v>130</v>
      </c>
      <c r="B82" t="s">
        <v>251</v>
      </c>
      <c r="C82" cm="1">
        <f t="array" ref="C82">_xlfn.XLOOKUP(1,(LightSpec[Location]=Table2[[#This Row],[lookup Room]]) * (LightSpec[DiagNo]=Table2[[#This Row],[lookup Device]]), LightSpec[startinput])</f>
        <v>0</v>
      </c>
      <c r="D82" t="s">
        <v>505</v>
      </c>
      <c r="E82" t="s">
        <v>588</v>
      </c>
      <c r="F82" t="str" cm="1">
        <f t="array" aca="1" ref="F82" ca="1">_xlfn.LET(
  _xlpm.txt, _xlfn.XLOOKUP(1,(LightSpec[Location]=Table2[[#This Row],[lookup Room]]) * (LightSpec[DiagNo]=Table2[[#This Row],[lookup Device]]),LightSpec[From]),
  _xlpm.n, LEN(_xlpm.txt),
  _xlpm.pos, MATCH(FALSE, ISNUMBER(MID(_xlpm.txt, ROW(INDIRECT("2:" &amp; _xlpm.n)), 1)*1), 0),
  LEFT(_xlpm.txt, _xlpm.pos)
)</f>
        <v>P2</v>
      </c>
      <c r="G82">
        <f>_xlfn.XLOOKUP(Table2[[#This Row],[Trigger]],SwitchButtons[switch],SwitchButtons[input])+Table2[[#This Row],[start]]</f>
        <v>0</v>
      </c>
      <c r="H82" t="s">
        <v>567</v>
      </c>
      <c r="I82" t="str">
        <f>_xlfn.XLOOKUP(Table2[[#This Row],[set1]],circuitoutputs[circuit],circuitoutputs[device])</f>
        <v>D17</v>
      </c>
      <c r="J82">
        <f>_xlfn.XLOOKUP(Table2[[#This Row],[set1]],circuitoutputs[circuit],circuitoutputs[output])</f>
        <v>1</v>
      </c>
      <c r="K82" t="s">
        <v>594</v>
      </c>
    </row>
    <row r="83" spans="1:11" hidden="1" x14ac:dyDescent="0.25">
      <c r="A83" t="s">
        <v>130</v>
      </c>
      <c r="B83" t="s">
        <v>251</v>
      </c>
      <c r="C83" cm="1">
        <f t="array" ref="C83">_xlfn.XLOOKUP(1,(LightSpec[Location]=Table2[[#This Row],[lookup Room]]) * (LightSpec[DiagNo]=Table2[[#This Row],[lookup Device]]), LightSpec[startinput])</f>
        <v>0</v>
      </c>
      <c r="D83" t="s">
        <v>505</v>
      </c>
      <c r="E83" t="s">
        <v>588</v>
      </c>
      <c r="F83" t="str" cm="1">
        <f t="array" aca="1" ref="F83" ca="1">_xlfn.LET(
  _xlpm.txt, _xlfn.XLOOKUP(1,(LightSpec[Location]=Table2[[#This Row],[lookup Room]]) * (LightSpec[DiagNo]=Table2[[#This Row],[lookup Device]]),LightSpec[From]),
  _xlpm.n, LEN(_xlpm.txt),
  _xlpm.pos, MATCH(FALSE, ISNUMBER(MID(_xlpm.txt, ROW(INDIRECT("2:" &amp; _xlpm.n)), 1)*1), 0),
  LEFT(_xlpm.txt, _xlpm.pos)
)</f>
        <v>P2</v>
      </c>
      <c r="G83">
        <f>_xlfn.XLOOKUP(Table2[[#This Row],[Trigger]],SwitchButtons[switch],SwitchButtons[input])+Table2[[#This Row],[start]]</f>
        <v>0</v>
      </c>
      <c r="H83" t="s">
        <v>533</v>
      </c>
      <c r="I83" t="str">
        <f>_xlfn.XLOOKUP(Table2[[#This Row],[set1]],circuitoutputs[circuit],circuitoutputs[device])</f>
        <v>D18</v>
      </c>
      <c r="J83">
        <f>_xlfn.XLOOKUP(Table2[[#This Row],[set1]],circuitoutputs[circuit],circuitoutputs[output])</f>
        <v>0</v>
      </c>
      <c r="K83" t="s">
        <v>594</v>
      </c>
    </row>
    <row r="84" spans="1:11" hidden="1" x14ac:dyDescent="0.25">
      <c r="A84" t="s">
        <v>130</v>
      </c>
      <c r="B84" t="s">
        <v>251</v>
      </c>
      <c r="C84" cm="1">
        <f t="array" ref="C84">_xlfn.XLOOKUP(1,(LightSpec[Location]=Table2[[#This Row],[lookup Room]]) * (LightSpec[DiagNo]=Table2[[#This Row],[lookup Device]]), LightSpec[startinput])</f>
        <v>0</v>
      </c>
      <c r="D84" t="s">
        <v>505</v>
      </c>
      <c r="E84" t="s">
        <v>589</v>
      </c>
      <c r="F84" t="str" cm="1">
        <f t="array" aca="1" ref="F84" ca="1">_xlfn.LET(
  _xlpm.txt, _xlfn.XLOOKUP(1,(LightSpec[Location]=Table2[[#This Row],[lookup Room]]) * (LightSpec[DiagNo]=Table2[[#This Row],[lookup Device]]),LightSpec[From]),
  _xlpm.n, LEN(_xlpm.txt),
  _xlpm.pos, MATCH(FALSE, ISNUMBER(MID(_xlpm.txt, ROW(INDIRECT("2:" &amp; _xlpm.n)), 1)*1), 0),
  LEFT(_xlpm.txt, _xlpm.pos)
)</f>
        <v>P2</v>
      </c>
      <c r="G84">
        <f>_xlfn.XLOOKUP(Table2[[#This Row],[Trigger]],SwitchButtons[switch],SwitchButtons[input])+Table2[[#This Row],[start]]</f>
        <v>0</v>
      </c>
      <c r="H84" t="s">
        <v>567</v>
      </c>
      <c r="I84" t="str">
        <f>_xlfn.XLOOKUP(Table2[[#This Row],[set1]],circuitoutputs[circuit],circuitoutputs[device])</f>
        <v>D17</v>
      </c>
      <c r="J84">
        <f>_xlfn.XLOOKUP(Table2[[#This Row],[set1]],circuitoutputs[circuit],circuitoutputs[output])</f>
        <v>1</v>
      </c>
      <c r="K84" t="s">
        <v>495</v>
      </c>
    </row>
    <row r="85" spans="1:11" hidden="1" x14ac:dyDescent="0.25">
      <c r="A85" t="s">
        <v>130</v>
      </c>
      <c r="B85" t="s">
        <v>251</v>
      </c>
      <c r="C85" cm="1">
        <f t="array" ref="C85">_xlfn.XLOOKUP(1,(LightSpec[Location]=Table2[[#This Row],[lookup Room]]) * (LightSpec[DiagNo]=Table2[[#This Row],[lookup Device]]), LightSpec[startinput])</f>
        <v>0</v>
      </c>
      <c r="D85" t="s">
        <v>505</v>
      </c>
      <c r="E85" t="s">
        <v>589</v>
      </c>
      <c r="F85" t="str" cm="1">
        <f t="array" aca="1" ref="F85" ca="1">_xlfn.LET(
  _xlpm.txt, _xlfn.XLOOKUP(1,(LightSpec[Location]=Table2[[#This Row],[lookup Room]]) * (LightSpec[DiagNo]=Table2[[#This Row],[lookup Device]]),LightSpec[From]),
  _xlpm.n, LEN(_xlpm.txt),
  _xlpm.pos, MATCH(FALSE, ISNUMBER(MID(_xlpm.txt, ROW(INDIRECT("2:" &amp; _xlpm.n)), 1)*1), 0),
  LEFT(_xlpm.txt, _xlpm.pos)
)</f>
        <v>P2</v>
      </c>
      <c r="G85">
        <f>_xlfn.XLOOKUP(Table2[[#This Row],[Trigger]],SwitchButtons[switch],SwitchButtons[input])+Table2[[#This Row],[start]]</f>
        <v>0</v>
      </c>
      <c r="H85" t="s">
        <v>533</v>
      </c>
      <c r="I85" t="str">
        <f>_xlfn.XLOOKUP(Table2[[#This Row],[set1]],circuitoutputs[circuit],circuitoutputs[device])</f>
        <v>D18</v>
      </c>
      <c r="J85">
        <f>_xlfn.XLOOKUP(Table2[[#This Row],[set1]],circuitoutputs[circuit],circuitoutputs[output])</f>
        <v>0</v>
      </c>
      <c r="K85" t="s">
        <v>495</v>
      </c>
    </row>
    <row r="86" spans="1:11" hidden="1" x14ac:dyDescent="0.25">
      <c r="A86" t="s">
        <v>129</v>
      </c>
      <c r="B86" t="s">
        <v>193</v>
      </c>
      <c r="C86" cm="1">
        <f t="array" ref="C86">_xlfn.XLOOKUP(1,(LightSpec[Location]=Table2[[#This Row],[lookup Room]]) * (LightSpec[DiagNo]=Table2[[#This Row],[lookup Device]]), LightSpec[startinput])</f>
        <v>0</v>
      </c>
      <c r="D86" t="s">
        <v>445</v>
      </c>
      <c r="E86" t="s">
        <v>500</v>
      </c>
      <c r="F86" t="str" cm="1">
        <f t="array" aca="1" ref="F86" ca="1">_xlfn.LET(
  _xlpm.txt, _xlfn.XLOOKUP(1,(LightSpec[Location]=Table2[[#This Row],[lookup Room]]) * (LightSpec[DiagNo]=Table2[[#This Row],[lookup Device]]),LightSpec[From]),
  _xlpm.n, LEN(_xlpm.txt),
  _xlpm.pos, MATCH(FALSE, ISNUMBER(MID(_xlpm.txt, ROW(INDIRECT("2:" &amp; _xlpm.n)), 1)*1), 0),
  LEFT(_xlpm.txt, _xlpm.pos)
)</f>
        <v>D16</v>
      </c>
      <c r="G86">
        <f>_xlfn.XLOOKUP(Table2[[#This Row],[Trigger]],SwitchButtons[switch],SwitchButtons[input])+Table2[[#This Row],[start]]</f>
        <v>0</v>
      </c>
      <c r="H86" t="s">
        <v>568</v>
      </c>
      <c r="I86" t="str">
        <f>_xlfn.XLOOKUP(Table2[[#This Row],[set1]],circuitoutputs[circuit],circuitoutputs[device])</f>
        <v>D18</v>
      </c>
      <c r="J86">
        <f>_xlfn.XLOOKUP(Table2[[#This Row],[set1]],circuitoutputs[circuit],circuitoutputs[output])</f>
        <v>1</v>
      </c>
      <c r="K86" t="s">
        <v>494</v>
      </c>
    </row>
    <row r="87" spans="1:11" hidden="1" x14ac:dyDescent="0.25">
      <c r="A87" t="s">
        <v>129</v>
      </c>
      <c r="B87" t="s">
        <v>193</v>
      </c>
      <c r="C87" cm="1">
        <f t="array" ref="C87">_xlfn.XLOOKUP(1,(LightSpec[Location]=Table2[[#This Row],[lookup Room]]) * (LightSpec[DiagNo]=Table2[[#This Row],[lookup Device]]), LightSpec[startinput])</f>
        <v>0</v>
      </c>
      <c r="D87" t="s">
        <v>445</v>
      </c>
      <c r="E87" t="s">
        <v>500</v>
      </c>
      <c r="F87" t="str" cm="1">
        <f t="array" aca="1" ref="F87" ca="1">_xlfn.LET(
  _xlpm.txt, _xlfn.XLOOKUP(1,(LightSpec[Location]=Table2[[#This Row],[lookup Room]]) * (LightSpec[DiagNo]=Table2[[#This Row],[lookup Device]]),LightSpec[From]),
  _xlpm.n, LEN(_xlpm.txt),
  _xlpm.pos, MATCH(FALSE, ISNUMBER(MID(_xlpm.txt, ROW(INDIRECT("2:" &amp; _xlpm.n)), 1)*1), 0),
  LEFT(_xlpm.txt, _xlpm.pos)
)</f>
        <v>D16</v>
      </c>
      <c r="G87">
        <f>_xlfn.XLOOKUP(Table2[[#This Row],[Trigger]],SwitchButtons[switch],SwitchButtons[input])+Table2[[#This Row],[start]]</f>
        <v>0</v>
      </c>
      <c r="H87" t="s">
        <v>534</v>
      </c>
      <c r="I87" t="str">
        <f>_xlfn.XLOOKUP(Table2[[#This Row],[set1]],circuitoutputs[circuit],circuitoutputs[device])</f>
        <v>D19</v>
      </c>
      <c r="J87">
        <f>_xlfn.XLOOKUP(Table2[[#This Row],[set1]],circuitoutputs[circuit],circuitoutputs[output])</f>
        <v>0</v>
      </c>
      <c r="K87" t="s">
        <v>494</v>
      </c>
    </row>
    <row r="88" spans="1:11" hidden="1" x14ac:dyDescent="0.25">
      <c r="A88" t="s">
        <v>129</v>
      </c>
      <c r="B88" t="s">
        <v>193</v>
      </c>
      <c r="C88" cm="1">
        <f t="array" ref="C88">_xlfn.XLOOKUP(1,(LightSpec[Location]=Table2[[#This Row],[lookup Room]]) * (LightSpec[DiagNo]=Table2[[#This Row],[lookup Device]]), LightSpec[startinput])</f>
        <v>0</v>
      </c>
      <c r="D88" t="s">
        <v>445</v>
      </c>
      <c r="E88" t="s">
        <v>500</v>
      </c>
      <c r="F88" t="str" cm="1">
        <f t="array" aca="1" ref="F88" ca="1">_xlfn.LET(
  _xlpm.txt, _xlfn.XLOOKUP(1,(LightSpec[Location]=Table2[[#This Row],[lookup Room]]) * (LightSpec[DiagNo]=Table2[[#This Row],[lookup Device]]),LightSpec[From]),
  _xlpm.n, LEN(_xlpm.txt),
  _xlpm.pos, MATCH(FALSE, ISNUMBER(MID(_xlpm.txt, ROW(INDIRECT("2:" &amp; _xlpm.n)), 1)*1), 0),
  LEFT(_xlpm.txt, _xlpm.pos)
)</f>
        <v>D16</v>
      </c>
      <c r="G88">
        <f>_xlfn.XLOOKUP(Table2[[#This Row],[Trigger]],SwitchButtons[switch],SwitchButtons[input])+Table2[[#This Row],[start]]</f>
        <v>0</v>
      </c>
      <c r="H88" t="s">
        <v>569</v>
      </c>
      <c r="I88" t="str">
        <f>_xlfn.XLOOKUP(Table2[[#This Row],[set1]],circuitoutputs[circuit],circuitoutputs[device])</f>
        <v>D19</v>
      </c>
      <c r="J88">
        <f>_xlfn.XLOOKUP(Table2[[#This Row],[set1]],circuitoutputs[circuit],circuitoutputs[output])</f>
        <v>1</v>
      </c>
      <c r="K88" t="s">
        <v>494</v>
      </c>
    </row>
    <row r="89" spans="1:11" hidden="1" x14ac:dyDescent="0.25">
      <c r="A89" t="s">
        <v>129</v>
      </c>
      <c r="B89" t="s">
        <v>193</v>
      </c>
      <c r="C89" cm="1">
        <f t="array" ref="C89">_xlfn.XLOOKUP(1,(LightSpec[Location]=Table2[[#This Row],[lookup Room]]) * (LightSpec[DiagNo]=Table2[[#This Row],[lookup Device]]), LightSpec[startinput])</f>
        <v>0</v>
      </c>
      <c r="D89" t="s">
        <v>445</v>
      </c>
      <c r="E89" t="s">
        <v>500</v>
      </c>
      <c r="F89" t="str" cm="1">
        <f t="array" aca="1" ref="F89" ca="1">_xlfn.LET(
  _xlpm.txt, _xlfn.XLOOKUP(1,(LightSpec[Location]=Table2[[#This Row],[lookup Room]]) * (LightSpec[DiagNo]=Table2[[#This Row],[lookup Device]]),LightSpec[From]),
  _xlpm.n, LEN(_xlpm.txt),
  _xlpm.pos, MATCH(FALSE, ISNUMBER(MID(_xlpm.txt, ROW(INDIRECT("2:" &amp; _xlpm.n)), 1)*1), 0),
  LEFT(_xlpm.txt, _xlpm.pos)
)</f>
        <v>D16</v>
      </c>
      <c r="G89">
        <f>_xlfn.XLOOKUP(Table2[[#This Row],[Trigger]],SwitchButtons[switch],SwitchButtons[input])+Table2[[#This Row],[start]]</f>
        <v>0</v>
      </c>
      <c r="H89" t="s">
        <v>535</v>
      </c>
      <c r="I89" t="str">
        <f>_xlfn.XLOOKUP(Table2[[#This Row],[set1]],circuitoutputs[circuit],circuitoutputs[device])</f>
        <v>D20</v>
      </c>
      <c r="J89">
        <f>_xlfn.XLOOKUP(Table2[[#This Row],[set1]],circuitoutputs[circuit],circuitoutputs[output])</f>
        <v>0</v>
      </c>
      <c r="K89" t="s">
        <v>494</v>
      </c>
    </row>
    <row r="90" spans="1:11" hidden="1" x14ac:dyDescent="0.25">
      <c r="A90" t="s">
        <v>129</v>
      </c>
      <c r="B90" t="s">
        <v>193</v>
      </c>
      <c r="C90" cm="1">
        <f t="array" ref="C90">_xlfn.XLOOKUP(1,(LightSpec[Location]=Table2[[#This Row],[lookup Room]]) * (LightSpec[DiagNo]=Table2[[#This Row],[lookup Device]]), LightSpec[startinput])</f>
        <v>0</v>
      </c>
      <c r="D90" t="s">
        <v>445</v>
      </c>
      <c r="E90" t="s">
        <v>500</v>
      </c>
      <c r="F90" t="str" cm="1">
        <f t="array" aca="1" ref="F90" ca="1">_xlfn.LET(
  _xlpm.txt, _xlfn.XLOOKUP(1,(LightSpec[Location]=Table2[[#This Row],[lookup Room]]) * (LightSpec[DiagNo]=Table2[[#This Row],[lookup Device]]),LightSpec[From]),
  _xlpm.n, LEN(_xlpm.txt),
  _xlpm.pos, MATCH(FALSE, ISNUMBER(MID(_xlpm.txt, ROW(INDIRECT("2:" &amp; _xlpm.n)), 1)*1), 0),
  LEFT(_xlpm.txt, _xlpm.pos)
)</f>
        <v>D16</v>
      </c>
      <c r="G90">
        <f>_xlfn.XLOOKUP(Table2[[#This Row],[Trigger]],SwitchButtons[switch],SwitchButtons[input])+Table2[[#This Row],[start]]</f>
        <v>0</v>
      </c>
      <c r="H90" t="s">
        <v>570</v>
      </c>
      <c r="I90" t="str">
        <f>_xlfn.XLOOKUP(Table2[[#This Row],[set1]],circuitoutputs[circuit],circuitoutputs[device])</f>
        <v>D20</v>
      </c>
      <c r="J90">
        <f>_xlfn.XLOOKUP(Table2[[#This Row],[set1]],circuitoutputs[circuit],circuitoutputs[output])</f>
        <v>1</v>
      </c>
      <c r="K90" t="s">
        <v>494</v>
      </c>
    </row>
    <row r="91" spans="1:11" hidden="1" x14ac:dyDescent="0.25">
      <c r="A91" t="s">
        <v>129</v>
      </c>
      <c r="B91" t="s">
        <v>193</v>
      </c>
      <c r="C91" cm="1">
        <f t="array" ref="C91">_xlfn.XLOOKUP(1,(LightSpec[Location]=Table2[[#This Row],[lookup Room]]) * (LightSpec[DiagNo]=Table2[[#This Row],[lookup Device]]), LightSpec[startinput])</f>
        <v>0</v>
      </c>
      <c r="D91" t="s">
        <v>445</v>
      </c>
      <c r="E91" t="s">
        <v>503</v>
      </c>
      <c r="F91" t="str" cm="1">
        <f t="array" aca="1" ref="F91" ca="1">_xlfn.LET(
  _xlpm.txt, _xlfn.XLOOKUP(1,(LightSpec[Location]=Table2[[#This Row],[lookup Room]]) * (LightSpec[DiagNo]=Table2[[#This Row],[lookup Device]]),LightSpec[From]),
  _xlpm.n, LEN(_xlpm.txt),
  _xlpm.pos, MATCH(FALSE, ISNUMBER(MID(_xlpm.txt, ROW(INDIRECT("2:" &amp; _xlpm.n)), 1)*1), 0),
  LEFT(_xlpm.txt, _xlpm.pos)
)</f>
        <v>D16</v>
      </c>
      <c r="G91">
        <f>_xlfn.XLOOKUP(Table2[[#This Row],[Trigger]],SwitchButtons[switch],SwitchButtons[input])+Table2[[#This Row],[start]]</f>
        <v>0</v>
      </c>
      <c r="H91" t="s">
        <v>568</v>
      </c>
      <c r="I91" t="str">
        <f>_xlfn.XLOOKUP(Table2[[#This Row],[set1]],circuitoutputs[circuit],circuitoutputs[device])</f>
        <v>D18</v>
      </c>
      <c r="J91">
        <f>_xlfn.XLOOKUP(Table2[[#This Row],[set1]],circuitoutputs[circuit],circuitoutputs[output])</f>
        <v>1</v>
      </c>
      <c r="K91" t="s">
        <v>596</v>
      </c>
    </row>
    <row r="92" spans="1:11" hidden="1" x14ac:dyDescent="0.25">
      <c r="A92" t="s">
        <v>129</v>
      </c>
      <c r="B92" t="s">
        <v>193</v>
      </c>
      <c r="C92" cm="1">
        <f t="array" ref="C92">_xlfn.XLOOKUP(1,(LightSpec[Location]=Table2[[#This Row],[lookup Room]]) * (LightSpec[DiagNo]=Table2[[#This Row],[lookup Device]]), LightSpec[startinput])</f>
        <v>0</v>
      </c>
      <c r="D92" t="s">
        <v>445</v>
      </c>
      <c r="E92" t="s">
        <v>503</v>
      </c>
      <c r="F92" t="str" cm="1">
        <f t="array" aca="1" ref="F92" ca="1">_xlfn.LET(
  _xlpm.txt, _xlfn.XLOOKUP(1,(LightSpec[Location]=Table2[[#This Row],[lookup Room]]) * (LightSpec[DiagNo]=Table2[[#This Row],[lookup Device]]),LightSpec[From]),
  _xlpm.n, LEN(_xlpm.txt),
  _xlpm.pos, MATCH(FALSE, ISNUMBER(MID(_xlpm.txt, ROW(INDIRECT("2:" &amp; _xlpm.n)), 1)*1), 0),
  LEFT(_xlpm.txt, _xlpm.pos)
)</f>
        <v>D16</v>
      </c>
      <c r="G92">
        <f>_xlfn.XLOOKUP(Table2[[#This Row],[Trigger]],SwitchButtons[switch],SwitchButtons[input])+Table2[[#This Row],[start]]</f>
        <v>0</v>
      </c>
      <c r="H92" t="s">
        <v>534</v>
      </c>
      <c r="I92" t="str">
        <f>_xlfn.XLOOKUP(Table2[[#This Row],[set1]],circuitoutputs[circuit],circuitoutputs[device])</f>
        <v>D19</v>
      </c>
      <c r="J92">
        <f>_xlfn.XLOOKUP(Table2[[#This Row],[set1]],circuitoutputs[circuit],circuitoutputs[output])</f>
        <v>0</v>
      </c>
      <c r="K92" t="s">
        <v>596</v>
      </c>
    </row>
    <row r="93" spans="1:11" hidden="1" x14ac:dyDescent="0.25">
      <c r="A93" t="s">
        <v>129</v>
      </c>
      <c r="B93" t="s">
        <v>193</v>
      </c>
      <c r="C93" cm="1">
        <f t="array" ref="C93">_xlfn.XLOOKUP(1,(LightSpec[Location]=Table2[[#This Row],[lookup Room]]) * (LightSpec[DiagNo]=Table2[[#This Row],[lookup Device]]), LightSpec[startinput])</f>
        <v>0</v>
      </c>
      <c r="D93" t="s">
        <v>445</v>
      </c>
      <c r="E93" t="s">
        <v>503</v>
      </c>
      <c r="F93" t="str" cm="1">
        <f t="array" aca="1" ref="F93" ca="1">_xlfn.LET(
  _xlpm.txt, _xlfn.XLOOKUP(1,(LightSpec[Location]=Table2[[#This Row],[lookup Room]]) * (LightSpec[DiagNo]=Table2[[#This Row],[lookup Device]]),LightSpec[From]),
  _xlpm.n, LEN(_xlpm.txt),
  _xlpm.pos, MATCH(FALSE, ISNUMBER(MID(_xlpm.txt, ROW(INDIRECT("2:" &amp; _xlpm.n)), 1)*1), 0),
  LEFT(_xlpm.txt, _xlpm.pos)
)</f>
        <v>D16</v>
      </c>
      <c r="G93">
        <f>_xlfn.XLOOKUP(Table2[[#This Row],[Trigger]],SwitchButtons[switch],SwitchButtons[input])+Table2[[#This Row],[start]]</f>
        <v>0</v>
      </c>
      <c r="H93" t="s">
        <v>569</v>
      </c>
      <c r="I93" t="str">
        <f>_xlfn.XLOOKUP(Table2[[#This Row],[set1]],circuitoutputs[circuit],circuitoutputs[device])</f>
        <v>D19</v>
      </c>
      <c r="J93">
        <f>_xlfn.XLOOKUP(Table2[[#This Row],[set1]],circuitoutputs[circuit],circuitoutputs[output])</f>
        <v>1</v>
      </c>
      <c r="K93" t="s">
        <v>596</v>
      </c>
    </row>
    <row r="94" spans="1:11" hidden="1" x14ac:dyDescent="0.25">
      <c r="A94" t="s">
        <v>129</v>
      </c>
      <c r="B94" t="s">
        <v>193</v>
      </c>
      <c r="C94" cm="1">
        <f t="array" ref="C94">_xlfn.XLOOKUP(1,(LightSpec[Location]=Table2[[#This Row],[lookup Room]]) * (LightSpec[DiagNo]=Table2[[#This Row],[lookup Device]]), LightSpec[startinput])</f>
        <v>0</v>
      </c>
      <c r="D94" t="s">
        <v>445</v>
      </c>
      <c r="E94" t="s">
        <v>503</v>
      </c>
      <c r="F94" t="str" cm="1">
        <f t="array" aca="1" ref="F94" ca="1">_xlfn.LET(
  _xlpm.txt, _xlfn.XLOOKUP(1,(LightSpec[Location]=Table2[[#This Row],[lookup Room]]) * (LightSpec[DiagNo]=Table2[[#This Row],[lookup Device]]),LightSpec[From]),
  _xlpm.n, LEN(_xlpm.txt),
  _xlpm.pos, MATCH(FALSE, ISNUMBER(MID(_xlpm.txt, ROW(INDIRECT("2:" &amp; _xlpm.n)), 1)*1), 0),
  LEFT(_xlpm.txt, _xlpm.pos)
)</f>
        <v>D16</v>
      </c>
      <c r="G94">
        <f>_xlfn.XLOOKUP(Table2[[#This Row],[Trigger]],SwitchButtons[switch],SwitchButtons[input])+Table2[[#This Row],[start]]</f>
        <v>0</v>
      </c>
      <c r="H94" t="s">
        <v>535</v>
      </c>
      <c r="I94" t="str">
        <f>_xlfn.XLOOKUP(Table2[[#This Row],[set1]],circuitoutputs[circuit],circuitoutputs[device])</f>
        <v>D20</v>
      </c>
      <c r="J94">
        <f>_xlfn.XLOOKUP(Table2[[#This Row],[set1]],circuitoutputs[circuit],circuitoutputs[output])</f>
        <v>0</v>
      </c>
      <c r="K94" t="s">
        <v>596</v>
      </c>
    </row>
    <row r="95" spans="1:11" hidden="1" x14ac:dyDescent="0.25">
      <c r="A95" t="s">
        <v>129</v>
      </c>
      <c r="B95" t="s">
        <v>193</v>
      </c>
      <c r="C95" cm="1">
        <f t="array" ref="C95">_xlfn.XLOOKUP(1,(LightSpec[Location]=Table2[[#This Row],[lookup Room]]) * (LightSpec[DiagNo]=Table2[[#This Row],[lookup Device]]), LightSpec[startinput])</f>
        <v>0</v>
      </c>
      <c r="D95" t="s">
        <v>445</v>
      </c>
      <c r="E95" t="s">
        <v>503</v>
      </c>
      <c r="F95" t="str" cm="1">
        <f t="array" aca="1" ref="F95" ca="1">_xlfn.LET(
  _xlpm.txt, _xlfn.XLOOKUP(1,(LightSpec[Location]=Table2[[#This Row],[lookup Room]]) * (LightSpec[DiagNo]=Table2[[#This Row],[lookup Device]]),LightSpec[From]),
  _xlpm.n, LEN(_xlpm.txt),
  _xlpm.pos, MATCH(FALSE, ISNUMBER(MID(_xlpm.txt, ROW(INDIRECT("2:" &amp; _xlpm.n)), 1)*1), 0),
  LEFT(_xlpm.txt, _xlpm.pos)
)</f>
        <v>D16</v>
      </c>
      <c r="G95">
        <f>_xlfn.XLOOKUP(Table2[[#This Row],[Trigger]],SwitchButtons[switch],SwitchButtons[input])+Table2[[#This Row],[start]]</f>
        <v>0</v>
      </c>
      <c r="H95" t="s">
        <v>570</v>
      </c>
      <c r="I95" t="str">
        <f>_xlfn.XLOOKUP(Table2[[#This Row],[set1]],circuitoutputs[circuit],circuitoutputs[device])</f>
        <v>D20</v>
      </c>
      <c r="J95">
        <f>_xlfn.XLOOKUP(Table2[[#This Row],[set1]],circuitoutputs[circuit],circuitoutputs[output])</f>
        <v>1</v>
      </c>
      <c r="K95" t="s">
        <v>596</v>
      </c>
    </row>
    <row r="96" spans="1:11" hidden="1" x14ac:dyDescent="0.25">
      <c r="A96" t="s">
        <v>129</v>
      </c>
      <c r="B96" t="s">
        <v>193</v>
      </c>
      <c r="C96" cm="1">
        <f t="array" ref="C96">_xlfn.XLOOKUP(1,(LightSpec[Location]=Table2[[#This Row],[lookup Room]]) * (LightSpec[DiagNo]=Table2[[#This Row],[lookup Device]]), LightSpec[startinput])</f>
        <v>0</v>
      </c>
      <c r="D96" t="s">
        <v>446</v>
      </c>
      <c r="E96" t="s">
        <v>500</v>
      </c>
      <c r="F96" t="str" cm="1">
        <f t="array" aca="1" ref="F96" ca="1">_xlfn.LET(
  _xlpm.txt, _xlfn.XLOOKUP(1,(LightSpec[Location]=Table2[[#This Row],[lookup Room]]) * (LightSpec[DiagNo]=Table2[[#This Row],[lookup Device]]),LightSpec[From]),
  _xlpm.n, LEN(_xlpm.txt),
  _xlpm.pos, MATCH(FALSE, ISNUMBER(MID(_xlpm.txt, ROW(INDIRECT("2:" &amp; _xlpm.n)), 1)*1), 0),
  LEFT(_xlpm.txt, _xlpm.pos)
)</f>
        <v>D16</v>
      </c>
      <c r="G96">
        <f>_xlfn.XLOOKUP(Table2[[#This Row],[Trigger]],SwitchButtons[switch],SwitchButtons[input])+Table2[[#This Row],[start]]</f>
        <v>1</v>
      </c>
      <c r="H96" t="s">
        <v>568</v>
      </c>
      <c r="I96" t="str">
        <f>_xlfn.XLOOKUP(Table2[[#This Row],[set1]],circuitoutputs[circuit],circuitoutputs[device])</f>
        <v>D18</v>
      </c>
      <c r="J96">
        <f>_xlfn.XLOOKUP(Table2[[#This Row],[set1]],circuitoutputs[circuit],circuitoutputs[output])</f>
        <v>1</v>
      </c>
      <c r="K96" t="s">
        <v>495</v>
      </c>
    </row>
    <row r="97" spans="1:11" hidden="1" x14ac:dyDescent="0.25">
      <c r="A97" t="s">
        <v>129</v>
      </c>
      <c r="B97" t="s">
        <v>193</v>
      </c>
      <c r="C97" cm="1">
        <f t="array" ref="C97">_xlfn.XLOOKUP(1,(LightSpec[Location]=Table2[[#This Row],[lookup Room]]) * (LightSpec[DiagNo]=Table2[[#This Row],[lookup Device]]), LightSpec[startinput])</f>
        <v>0</v>
      </c>
      <c r="D97" t="s">
        <v>446</v>
      </c>
      <c r="E97" t="s">
        <v>500</v>
      </c>
      <c r="F97" t="str" cm="1">
        <f t="array" aca="1" ref="F97" ca="1">_xlfn.LET(
  _xlpm.txt, _xlfn.XLOOKUP(1,(LightSpec[Location]=Table2[[#This Row],[lookup Room]]) * (LightSpec[DiagNo]=Table2[[#This Row],[lookup Device]]),LightSpec[From]),
  _xlpm.n, LEN(_xlpm.txt),
  _xlpm.pos, MATCH(FALSE, ISNUMBER(MID(_xlpm.txt, ROW(INDIRECT("2:" &amp; _xlpm.n)), 1)*1), 0),
  LEFT(_xlpm.txt, _xlpm.pos)
)</f>
        <v>D16</v>
      </c>
      <c r="G97">
        <f>_xlfn.XLOOKUP(Table2[[#This Row],[Trigger]],SwitchButtons[switch],SwitchButtons[input])+Table2[[#This Row],[start]]</f>
        <v>1</v>
      </c>
      <c r="H97" t="s">
        <v>534</v>
      </c>
      <c r="I97" t="str">
        <f>_xlfn.XLOOKUP(Table2[[#This Row],[set1]],circuitoutputs[circuit],circuitoutputs[device])</f>
        <v>D19</v>
      </c>
      <c r="J97">
        <f>_xlfn.XLOOKUP(Table2[[#This Row],[set1]],circuitoutputs[circuit],circuitoutputs[output])</f>
        <v>0</v>
      </c>
      <c r="K97" t="s">
        <v>495</v>
      </c>
    </row>
    <row r="98" spans="1:11" hidden="1" x14ac:dyDescent="0.25">
      <c r="A98" t="s">
        <v>129</v>
      </c>
      <c r="B98" t="s">
        <v>193</v>
      </c>
      <c r="C98" cm="1">
        <f t="array" ref="C98">_xlfn.XLOOKUP(1,(LightSpec[Location]=Table2[[#This Row],[lookup Room]]) * (LightSpec[DiagNo]=Table2[[#This Row],[lookup Device]]), LightSpec[startinput])</f>
        <v>0</v>
      </c>
      <c r="D98" t="s">
        <v>446</v>
      </c>
      <c r="E98" t="s">
        <v>500</v>
      </c>
      <c r="F98" t="str" cm="1">
        <f t="array" aca="1" ref="F98" ca="1">_xlfn.LET(
  _xlpm.txt, _xlfn.XLOOKUP(1,(LightSpec[Location]=Table2[[#This Row],[lookup Room]]) * (LightSpec[DiagNo]=Table2[[#This Row],[lookup Device]]),LightSpec[From]),
  _xlpm.n, LEN(_xlpm.txt),
  _xlpm.pos, MATCH(FALSE, ISNUMBER(MID(_xlpm.txt, ROW(INDIRECT("2:" &amp; _xlpm.n)), 1)*1), 0),
  LEFT(_xlpm.txt, _xlpm.pos)
)</f>
        <v>D16</v>
      </c>
      <c r="G98">
        <f>_xlfn.XLOOKUP(Table2[[#This Row],[Trigger]],SwitchButtons[switch],SwitchButtons[input])+Table2[[#This Row],[start]]</f>
        <v>1</v>
      </c>
      <c r="H98" t="s">
        <v>569</v>
      </c>
      <c r="I98" t="str">
        <f>_xlfn.XLOOKUP(Table2[[#This Row],[set1]],circuitoutputs[circuit],circuitoutputs[device])</f>
        <v>D19</v>
      </c>
      <c r="J98">
        <f>_xlfn.XLOOKUP(Table2[[#This Row],[set1]],circuitoutputs[circuit],circuitoutputs[output])</f>
        <v>1</v>
      </c>
      <c r="K98" t="s">
        <v>495</v>
      </c>
    </row>
    <row r="99" spans="1:11" hidden="1" x14ac:dyDescent="0.25">
      <c r="A99" t="s">
        <v>129</v>
      </c>
      <c r="B99" t="s">
        <v>193</v>
      </c>
      <c r="C99" cm="1">
        <f t="array" ref="C99">_xlfn.XLOOKUP(1,(LightSpec[Location]=Table2[[#This Row],[lookup Room]]) * (LightSpec[DiagNo]=Table2[[#This Row],[lookup Device]]), LightSpec[startinput])</f>
        <v>0</v>
      </c>
      <c r="D99" t="s">
        <v>446</v>
      </c>
      <c r="E99" t="s">
        <v>500</v>
      </c>
      <c r="F99" t="str" cm="1">
        <f t="array" aca="1" ref="F99" ca="1">_xlfn.LET(
  _xlpm.txt, _xlfn.XLOOKUP(1,(LightSpec[Location]=Table2[[#This Row],[lookup Room]]) * (LightSpec[DiagNo]=Table2[[#This Row],[lookup Device]]),LightSpec[From]),
  _xlpm.n, LEN(_xlpm.txt),
  _xlpm.pos, MATCH(FALSE, ISNUMBER(MID(_xlpm.txt, ROW(INDIRECT("2:" &amp; _xlpm.n)), 1)*1), 0),
  LEFT(_xlpm.txt, _xlpm.pos)
)</f>
        <v>D16</v>
      </c>
      <c r="G99">
        <f>_xlfn.XLOOKUP(Table2[[#This Row],[Trigger]],SwitchButtons[switch],SwitchButtons[input])+Table2[[#This Row],[start]]</f>
        <v>1</v>
      </c>
      <c r="H99" t="s">
        <v>535</v>
      </c>
      <c r="I99" t="str">
        <f>_xlfn.XLOOKUP(Table2[[#This Row],[set1]],circuitoutputs[circuit],circuitoutputs[device])</f>
        <v>D20</v>
      </c>
      <c r="J99">
        <f>_xlfn.XLOOKUP(Table2[[#This Row],[set1]],circuitoutputs[circuit],circuitoutputs[output])</f>
        <v>0</v>
      </c>
      <c r="K99" t="s">
        <v>495</v>
      </c>
    </row>
    <row r="100" spans="1:11" hidden="1" x14ac:dyDescent="0.25">
      <c r="A100" t="s">
        <v>129</v>
      </c>
      <c r="B100" t="s">
        <v>193</v>
      </c>
      <c r="C100" cm="1">
        <f t="array" ref="C100">_xlfn.XLOOKUP(1,(LightSpec[Location]=Table2[[#This Row],[lookup Room]]) * (LightSpec[DiagNo]=Table2[[#This Row],[lookup Device]]), LightSpec[startinput])</f>
        <v>0</v>
      </c>
      <c r="D100" t="s">
        <v>446</v>
      </c>
      <c r="E100" t="s">
        <v>500</v>
      </c>
      <c r="F100" t="str" cm="1">
        <f t="array" aca="1" ref="F100" ca="1">_xlfn.LET(
  _xlpm.txt, _xlfn.XLOOKUP(1,(LightSpec[Location]=Table2[[#This Row],[lookup Room]]) * (LightSpec[DiagNo]=Table2[[#This Row],[lookup Device]]),LightSpec[From]),
  _xlpm.n, LEN(_xlpm.txt),
  _xlpm.pos, MATCH(FALSE, ISNUMBER(MID(_xlpm.txt, ROW(INDIRECT("2:" &amp; _xlpm.n)), 1)*1), 0),
  LEFT(_xlpm.txt, _xlpm.pos)
)</f>
        <v>D16</v>
      </c>
      <c r="G100">
        <f>_xlfn.XLOOKUP(Table2[[#This Row],[Trigger]],SwitchButtons[switch],SwitchButtons[input])+Table2[[#This Row],[start]]</f>
        <v>1</v>
      </c>
      <c r="H100" t="s">
        <v>570</v>
      </c>
      <c r="I100" t="str">
        <f>_xlfn.XLOOKUP(Table2[[#This Row],[set1]],circuitoutputs[circuit],circuitoutputs[device])</f>
        <v>D20</v>
      </c>
      <c r="J100">
        <f>_xlfn.XLOOKUP(Table2[[#This Row],[set1]],circuitoutputs[circuit],circuitoutputs[output])</f>
        <v>1</v>
      </c>
      <c r="K100" t="s">
        <v>495</v>
      </c>
    </row>
    <row r="101" spans="1:11" hidden="1" x14ac:dyDescent="0.25">
      <c r="A101" t="s">
        <v>129</v>
      </c>
      <c r="B101" t="s">
        <v>193</v>
      </c>
      <c r="C101" cm="1">
        <f t="array" ref="C101">_xlfn.XLOOKUP(1,(LightSpec[Location]=Table2[[#This Row],[lookup Room]]) * (LightSpec[DiagNo]=Table2[[#This Row],[lookup Device]]), LightSpec[startinput])</f>
        <v>0</v>
      </c>
      <c r="D101" t="s">
        <v>447</v>
      </c>
      <c r="E101" t="s">
        <v>500</v>
      </c>
      <c r="F101" t="str" cm="1">
        <f t="array" aca="1" ref="F101" ca="1">_xlfn.LET(
  _xlpm.txt, _xlfn.XLOOKUP(1,(LightSpec[Location]=Table2[[#This Row],[lookup Room]]) * (LightSpec[DiagNo]=Table2[[#This Row],[lookup Device]]),LightSpec[From]),
  _xlpm.n, LEN(_xlpm.txt),
  _xlpm.pos, MATCH(FALSE, ISNUMBER(MID(_xlpm.txt, ROW(INDIRECT("2:" &amp; _xlpm.n)), 1)*1), 0),
  LEFT(_xlpm.txt, _xlpm.pos)
)</f>
        <v>D16</v>
      </c>
      <c r="G101">
        <f>_xlfn.XLOOKUP(Table2[[#This Row],[Trigger]],SwitchButtons[switch],SwitchButtons[input])+Table2[[#This Row],[start]]</f>
        <v>2</v>
      </c>
      <c r="H101" t="s">
        <v>530</v>
      </c>
      <c r="I101" t="str">
        <f>_xlfn.XLOOKUP(Table2[[#This Row],[set1]],circuitoutputs[circuit],circuitoutputs[device])</f>
        <v>D15</v>
      </c>
      <c r="J101">
        <f>_xlfn.XLOOKUP(Table2[[#This Row],[set1]],circuitoutputs[circuit],circuitoutputs[output])</f>
        <v>0</v>
      </c>
      <c r="K101" t="s">
        <v>494</v>
      </c>
    </row>
    <row r="102" spans="1:11" hidden="1" x14ac:dyDescent="0.25">
      <c r="A102" t="s">
        <v>129</v>
      </c>
      <c r="B102" t="s">
        <v>193</v>
      </c>
      <c r="C102" cm="1">
        <f t="array" ref="C102">_xlfn.XLOOKUP(1,(LightSpec[Location]=Table2[[#This Row],[lookup Room]]) * (LightSpec[DiagNo]=Table2[[#This Row],[lookup Device]]), LightSpec[startinput])</f>
        <v>0</v>
      </c>
      <c r="D102" t="s">
        <v>447</v>
      </c>
      <c r="E102" t="s">
        <v>500</v>
      </c>
      <c r="F102" t="str" cm="1">
        <f t="array" aca="1" ref="F102" ca="1">_xlfn.LET(
  _xlpm.txt, _xlfn.XLOOKUP(1,(LightSpec[Location]=Table2[[#This Row],[lookup Room]]) * (LightSpec[DiagNo]=Table2[[#This Row],[lookup Device]]),LightSpec[From]),
  _xlpm.n, LEN(_xlpm.txt),
  _xlpm.pos, MATCH(FALSE, ISNUMBER(MID(_xlpm.txt, ROW(INDIRECT("2:" &amp; _xlpm.n)), 1)*1), 0),
  LEFT(_xlpm.txt, _xlpm.pos)
)</f>
        <v>D16</v>
      </c>
      <c r="G102">
        <f>_xlfn.XLOOKUP(Table2[[#This Row],[Trigger]],SwitchButtons[switch],SwitchButtons[input])+Table2[[#This Row],[start]]</f>
        <v>2</v>
      </c>
      <c r="H102" t="s">
        <v>565</v>
      </c>
      <c r="I102" t="str">
        <f>_xlfn.XLOOKUP(Table2[[#This Row],[set1]],circuitoutputs[circuit],circuitoutputs[device])</f>
        <v>D15</v>
      </c>
      <c r="J102">
        <f>_xlfn.XLOOKUP(Table2[[#This Row],[set1]],circuitoutputs[circuit],circuitoutputs[output])</f>
        <v>1</v>
      </c>
      <c r="K102" t="s">
        <v>494</v>
      </c>
    </row>
    <row r="103" spans="1:11" hidden="1" x14ac:dyDescent="0.25">
      <c r="A103" t="s">
        <v>129</v>
      </c>
      <c r="B103" t="s">
        <v>193</v>
      </c>
      <c r="C103" cm="1">
        <f t="array" ref="C103">_xlfn.XLOOKUP(1,(LightSpec[Location]=Table2[[#This Row],[lookup Room]]) * (LightSpec[DiagNo]=Table2[[#This Row],[lookup Device]]), LightSpec[startinput])</f>
        <v>0</v>
      </c>
      <c r="D103" t="s">
        <v>447</v>
      </c>
      <c r="E103" t="s">
        <v>500</v>
      </c>
      <c r="F103" t="str" cm="1">
        <f t="array" aca="1" ref="F103" ca="1">_xlfn.LET(
  _xlpm.txt, _xlfn.XLOOKUP(1,(LightSpec[Location]=Table2[[#This Row],[lookup Room]]) * (LightSpec[DiagNo]=Table2[[#This Row],[lookup Device]]),LightSpec[From]),
  _xlpm.n, LEN(_xlpm.txt),
  _xlpm.pos, MATCH(FALSE, ISNUMBER(MID(_xlpm.txt, ROW(INDIRECT("2:" &amp; _xlpm.n)), 1)*1), 0),
  LEFT(_xlpm.txt, _xlpm.pos)
)</f>
        <v>D16</v>
      </c>
      <c r="G103">
        <f>_xlfn.XLOOKUP(Table2[[#This Row],[Trigger]],SwitchButtons[switch],SwitchButtons[input])+Table2[[#This Row],[start]]</f>
        <v>2</v>
      </c>
      <c r="H103" t="s">
        <v>531</v>
      </c>
      <c r="I103" t="str">
        <f>_xlfn.XLOOKUP(Table2[[#This Row],[set1]],circuitoutputs[circuit],circuitoutputs[device])</f>
        <v>D16</v>
      </c>
      <c r="J103">
        <f>_xlfn.XLOOKUP(Table2[[#This Row],[set1]],circuitoutputs[circuit],circuitoutputs[output])</f>
        <v>0</v>
      </c>
      <c r="K103" t="s">
        <v>494</v>
      </c>
    </row>
    <row r="104" spans="1:11" hidden="1" x14ac:dyDescent="0.25">
      <c r="A104" t="s">
        <v>129</v>
      </c>
      <c r="B104" t="s">
        <v>193</v>
      </c>
      <c r="C104" cm="1">
        <f t="array" ref="C104">_xlfn.XLOOKUP(1,(LightSpec[Location]=Table2[[#This Row],[lookup Room]]) * (LightSpec[DiagNo]=Table2[[#This Row],[lookup Device]]), LightSpec[startinput])</f>
        <v>0</v>
      </c>
      <c r="D104" t="s">
        <v>447</v>
      </c>
      <c r="E104" t="s">
        <v>503</v>
      </c>
      <c r="F104" t="str" cm="1">
        <f t="array" aca="1" ref="F104" ca="1">_xlfn.LET(
  _xlpm.txt, _xlfn.XLOOKUP(1,(LightSpec[Location]=Table2[[#This Row],[lookup Room]]) * (LightSpec[DiagNo]=Table2[[#This Row],[lookup Device]]),LightSpec[From]),
  _xlpm.n, LEN(_xlpm.txt),
  _xlpm.pos, MATCH(FALSE, ISNUMBER(MID(_xlpm.txt, ROW(INDIRECT("2:" &amp; _xlpm.n)), 1)*1), 0),
  LEFT(_xlpm.txt, _xlpm.pos)
)</f>
        <v>D16</v>
      </c>
      <c r="G104">
        <f>_xlfn.XLOOKUP(Table2[[#This Row],[Trigger]],SwitchButtons[switch],SwitchButtons[input])+Table2[[#This Row],[start]]</f>
        <v>2</v>
      </c>
      <c r="H104" t="s">
        <v>530</v>
      </c>
      <c r="I104" t="str">
        <f>_xlfn.XLOOKUP(Table2[[#This Row],[set1]],circuitoutputs[circuit],circuitoutputs[device])</f>
        <v>D15</v>
      </c>
      <c r="J104">
        <f>_xlfn.XLOOKUP(Table2[[#This Row],[set1]],circuitoutputs[circuit],circuitoutputs[output])</f>
        <v>0</v>
      </c>
      <c r="K104" t="s">
        <v>596</v>
      </c>
    </row>
    <row r="105" spans="1:11" hidden="1" x14ac:dyDescent="0.25">
      <c r="A105" t="s">
        <v>129</v>
      </c>
      <c r="B105" t="s">
        <v>193</v>
      </c>
      <c r="C105" cm="1">
        <f t="array" ref="C105">_xlfn.XLOOKUP(1,(LightSpec[Location]=Table2[[#This Row],[lookup Room]]) * (LightSpec[DiagNo]=Table2[[#This Row],[lookup Device]]), LightSpec[startinput])</f>
        <v>0</v>
      </c>
      <c r="D105" t="s">
        <v>447</v>
      </c>
      <c r="E105" t="s">
        <v>503</v>
      </c>
      <c r="F105" t="str" cm="1">
        <f t="array" aca="1" ref="F105" ca="1">_xlfn.LET(
  _xlpm.txt, _xlfn.XLOOKUP(1,(LightSpec[Location]=Table2[[#This Row],[lookup Room]]) * (LightSpec[DiagNo]=Table2[[#This Row],[lookup Device]]),LightSpec[From]),
  _xlpm.n, LEN(_xlpm.txt),
  _xlpm.pos, MATCH(FALSE, ISNUMBER(MID(_xlpm.txt, ROW(INDIRECT("2:" &amp; _xlpm.n)), 1)*1), 0),
  LEFT(_xlpm.txt, _xlpm.pos)
)</f>
        <v>D16</v>
      </c>
      <c r="G105">
        <f>_xlfn.XLOOKUP(Table2[[#This Row],[Trigger]],SwitchButtons[switch],SwitchButtons[input])+Table2[[#This Row],[start]]</f>
        <v>2</v>
      </c>
      <c r="H105" t="s">
        <v>565</v>
      </c>
      <c r="I105" t="str">
        <f>_xlfn.XLOOKUP(Table2[[#This Row],[set1]],circuitoutputs[circuit],circuitoutputs[device])</f>
        <v>D15</v>
      </c>
      <c r="J105">
        <f>_xlfn.XLOOKUP(Table2[[#This Row],[set1]],circuitoutputs[circuit],circuitoutputs[output])</f>
        <v>1</v>
      </c>
      <c r="K105" t="s">
        <v>596</v>
      </c>
    </row>
    <row r="106" spans="1:11" hidden="1" x14ac:dyDescent="0.25">
      <c r="A106" t="s">
        <v>129</v>
      </c>
      <c r="B106" t="s">
        <v>193</v>
      </c>
      <c r="C106" cm="1">
        <f t="array" ref="C106">_xlfn.XLOOKUP(1,(LightSpec[Location]=Table2[[#This Row],[lookup Room]]) * (LightSpec[DiagNo]=Table2[[#This Row],[lookup Device]]), LightSpec[startinput])</f>
        <v>0</v>
      </c>
      <c r="D106" t="s">
        <v>447</v>
      </c>
      <c r="E106" t="s">
        <v>503</v>
      </c>
      <c r="F106" t="str" cm="1">
        <f t="array" aca="1" ref="F106" ca="1">_xlfn.LET(
  _xlpm.txt, _xlfn.XLOOKUP(1,(LightSpec[Location]=Table2[[#This Row],[lookup Room]]) * (LightSpec[DiagNo]=Table2[[#This Row],[lookup Device]]),LightSpec[From]),
  _xlpm.n, LEN(_xlpm.txt),
  _xlpm.pos, MATCH(FALSE, ISNUMBER(MID(_xlpm.txt, ROW(INDIRECT("2:" &amp; _xlpm.n)), 1)*1), 0),
  LEFT(_xlpm.txt, _xlpm.pos)
)</f>
        <v>D16</v>
      </c>
      <c r="G106">
        <f>_xlfn.XLOOKUP(Table2[[#This Row],[Trigger]],SwitchButtons[switch],SwitchButtons[input])+Table2[[#This Row],[start]]</f>
        <v>2</v>
      </c>
      <c r="H106" t="s">
        <v>531</v>
      </c>
      <c r="I106" t="str">
        <f>_xlfn.XLOOKUP(Table2[[#This Row],[set1]],circuitoutputs[circuit],circuitoutputs[device])</f>
        <v>D16</v>
      </c>
      <c r="J106">
        <f>_xlfn.XLOOKUP(Table2[[#This Row],[set1]],circuitoutputs[circuit],circuitoutputs[output])</f>
        <v>0</v>
      </c>
      <c r="K106" t="s">
        <v>596</v>
      </c>
    </row>
    <row r="107" spans="1:11" hidden="1" x14ac:dyDescent="0.25">
      <c r="A107" t="s">
        <v>129</v>
      </c>
      <c r="B107" t="s">
        <v>193</v>
      </c>
      <c r="C107" cm="1">
        <f t="array" ref="C107">_xlfn.XLOOKUP(1,(LightSpec[Location]=Table2[[#This Row],[lookup Room]]) * (LightSpec[DiagNo]=Table2[[#This Row],[lookup Device]]), LightSpec[startinput])</f>
        <v>0</v>
      </c>
      <c r="D107" t="s">
        <v>448</v>
      </c>
      <c r="E107" t="s">
        <v>500</v>
      </c>
      <c r="F107" t="str" cm="1">
        <f t="array" aca="1" ref="F107" ca="1">_xlfn.LET(
  _xlpm.txt, _xlfn.XLOOKUP(1,(LightSpec[Location]=Table2[[#This Row],[lookup Room]]) * (LightSpec[DiagNo]=Table2[[#This Row],[lookup Device]]),LightSpec[From]),
  _xlpm.n, LEN(_xlpm.txt),
  _xlpm.pos, MATCH(FALSE, ISNUMBER(MID(_xlpm.txt, ROW(INDIRECT("2:" &amp; _xlpm.n)), 1)*1), 0),
  LEFT(_xlpm.txt, _xlpm.pos)
)</f>
        <v>D16</v>
      </c>
      <c r="G107">
        <f>_xlfn.XLOOKUP(Table2[[#This Row],[Trigger]],SwitchButtons[switch],SwitchButtons[input])+Table2[[#This Row],[start]]</f>
        <v>3</v>
      </c>
      <c r="H107" t="s">
        <v>530</v>
      </c>
      <c r="I107" t="str">
        <f>_xlfn.XLOOKUP(Table2[[#This Row],[set1]],circuitoutputs[circuit],circuitoutputs[device])</f>
        <v>D15</v>
      </c>
      <c r="J107">
        <f>_xlfn.XLOOKUP(Table2[[#This Row],[set1]],circuitoutputs[circuit],circuitoutputs[output])</f>
        <v>0</v>
      </c>
      <c r="K107" t="s">
        <v>495</v>
      </c>
    </row>
    <row r="108" spans="1:11" hidden="1" x14ac:dyDescent="0.25">
      <c r="A108" t="s">
        <v>129</v>
      </c>
      <c r="B108" t="s">
        <v>193</v>
      </c>
      <c r="C108" cm="1">
        <f t="array" ref="C108">_xlfn.XLOOKUP(1,(LightSpec[Location]=Table2[[#This Row],[lookup Room]]) * (LightSpec[DiagNo]=Table2[[#This Row],[lookup Device]]), LightSpec[startinput])</f>
        <v>0</v>
      </c>
      <c r="D108" t="s">
        <v>448</v>
      </c>
      <c r="E108" t="s">
        <v>500</v>
      </c>
      <c r="F108" t="str" cm="1">
        <f t="array" aca="1" ref="F108" ca="1">_xlfn.LET(
  _xlpm.txt, _xlfn.XLOOKUP(1,(LightSpec[Location]=Table2[[#This Row],[lookup Room]]) * (LightSpec[DiagNo]=Table2[[#This Row],[lookup Device]]),LightSpec[From]),
  _xlpm.n, LEN(_xlpm.txt),
  _xlpm.pos, MATCH(FALSE, ISNUMBER(MID(_xlpm.txt, ROW(INDIRECT("2:" &amp; _xlpm.n)), 1)*1), 0),
  LEFT(_xlpm.txt, _xlpm.pos)
)</f>
        <v>D16</v>
      </c>
      <c r="G108">
        <f>_xlfn.XLOOKUP(Table2[[#This Row],[Trigger]],SwitchButtons[switch],SwitchButtons[input])+Table2[[#This Row],[start]]</f>
        <v>3</v>
      </c>
      <c r="H108" t="s">
        <v>565</v>
      </c>
      <c r="I108" t="str">
        <f>_xlfn.XLOOKUP(Table2[[#This Row],[set1]],circuitoutputs[circuit],circuitoutputs[device])</f>
        <v>D15</v>
      </c>
      <c r="J108">
        <f>_xlfn.XLOOKUP(Table2[[#This Row],[set1]],circuitoutputs[circuit],circuitoutputs[output])</f>
        <v>1</v>
      </c>
      <c r="K108" t="s">
        <v>495</v>
      </c>
    </row>
    <row r="109" spans="1:11" hidden="1" x14ac:dyDescent="0.25">
      <c r="A109" t="s">
        <v>129</v>
      </c>
      <c r="B109" t="s">
        <v>193</v>
      </c>
      <c r="C109" cm="1">
        <f t="array" ref="C109">_xlfn.XLOOKUP(1,(LightSpec[Location]=Table2[[#This Row],[lookup Room]]) * (LightSpec[DiagNo]=Table2[[#This Row],[lookup Device]]), LightSpec[startinput])</f>
        <v>0</v>
      </c>
      <c r="D109" t="s">
        <v>448</v>
      </c>
      <c r="E109" t="s">
        <v>500</v>
      </c>
      <c r="F109" t="str" cm="1">
        <f t="array" aca="1" ref="F109" ca="1">_xlfn.LET(
  _xlpm.txt, _xlfn.XLOOKUP(1,(LightSpec[Location]=Table2[[#This Row],[lookup Room]]) * (LightSpec[DiagNo]=Table2[[#This Row],[lookup Device]]),LightSpec[From]),
  _xlpm.n, LEN(_xlpm.txt),
  _xlpm.pos, MATCH(FALSE, ISNUMBER(MID(_xlpm.txt, ROW(INDIRECT("2:" &amp; _xlpm.n)), 1)*1), 0),
  LEFT(_xlpm.txt, _xlpm.pos)
)</f>
        <v>D16</v>
      </c>
      <c r="G109">
        <f>_xlfn.XLOOKUP(Table2[[#This Row],[Trigger]],SwitchButtons[switch],SwitchButtons[input])+Table2[[#This Row],[start]]</f>
        <v>3</v>
      </c>
      <c r="H109" t="s">
        <v>531</v>
      </c>
      <c r="I109" t="str">
        <f>_xlfn.XLOOKUP(Table2[[#This Row],[set1]],circuitoutputs[circuit],circuitoutputs[device])</f>
        <v>D16</v>
      </c>
      <c r="J109">
        <f>_xlfn.XLOOKUP(Table2[[#This Row],[set1]],circuitoutputs[circuit],circuitoutputs[output])</f>
        <v>0</v>
      </c>
      <c r="K109" t="s">
        <v>495</v>
      </c>
    </row>
    <row r="110" spans="1:11" hidden="1" x14ac:dyDescent="0.25">
      <c r="A110" t="s">
        <v>131</v>
      </c>
      <c r="B110" t="s">
        <v>192</v>
      </c>
      <c r="C110" cm="1">
        <f t="array" ref="C110">_xlfn.XLOOKUP(1,(LightSpec[Location]=Table2[[#This Row],[lookup Room]]) * (LightSpec[DiagNo]=Table2[[#This Row],[lookup Device]]), LightSpec[startinput])</f>
        <v>0</v>
      </c>
      <c r="D110" t="s">
        <v>445</v>
      </c>
      <c r="E110" t="s">
        <v>500</v>
      </c>
      <c r="F110" t="str" cm="1">
        <f t="array" aca="1" ref="F110" ca="1">_xlfn.LET(
  _xlpm.txt, _xlfn.XLOOKUP(1,(LightSpec[Location]=Table2[[#This Row],[lookup Room]]) * (LightSpec[DiagNo]=Table2[[#This Row],[lookup Device]]),LightSpec[From]),
  _xlpm.n, LEN(_xlpm.txt),
  _xlpm.pos, MATCH(FALSE, ISNUMBER(MID(_xlpm.txt, ROW(INDIRECT("2:" &amp; _xlpm.n)), 1)*1), 0),
  LEFT(_xlpm.txt, _xlpm.pos)
)</f>
        <v>D19</v>
      </c>
      <c r="G110">
        <f>_xlfn.XLOOKUP(Table2[[#This Row],[Trigger]],SwitchButtons[switch],SwitchButtons[input])+Table2[[#This Row],[start]]</f>
        <v>0</v>
      </c>
      <c r="H110" t="s">
        <v>530</v>
      </c>
      <c r="I110" t="str">
        <f>_xlfn.XLOOKUP(Table2[[#This Row],[set1]],circuitoutputs[circuit],circuitoutputs[device])</f>
        <v>D15</v>
      </c>
      <c r="J110">
        <f>_xlfn.XLOOKUP(Table2[[#This Row],[set1]],circuitoutputs[circuit],circuitoutputs[output])</f>
        <v>0</v>
      </c>
      <c r="K110" t="s">
        <v>494</v>
      </c>
    </row>
    <row r="111" spans="1:11" hidden="1" x14ac:dyDescent="0.25">
      <c r="A111" t="s">
        <v>131</v>
      </c>
      <c r="B111" t="s">
        <v>192</v>
      </c>
      <c r="C111" cm="1">
        <f t="array" ref="C111">_xlfn.XLOOKUP(1,(LightSpec[Location]=Table2[[#This Row],[lookup Room]]) * (LightSpec[DiagNo]=Table2[[#This Row],[lookup Device]]), LightSpec[startinput])</f>
        <v>0</v>
      </c>
      <c r="D111" t="s">
        <v>445</v>
      </c>
      <c r="E111" t="s">
        <v>500</v>
      </c>
      <c r="F111" t="str" cm="1">
        <f t="array" aca="1" ref="F111" ca="1">_xlfn.LET(
  _xlpm.txt, _xlfn.XLOOKUP(1,(LightSpec[Location]=Table2[[#This Row],[lookup Room]]) * (LightSpec[DiagNo]=Table2[[#This Row],[lookup Device]]),LightSpec[From]),
  _xlpm.n, LEN(_xlpm.txt),
  _xlpm.pos, MATCH(FALSE, ISNUMBER(MID(_xlpm.txt, ROW(INDIRECT("2:" &amp; _xlpm.n)), 1)*1), 0),
  LEFT(_xlpm.txt, _xlpm.pos)
)</f>
        <v>D19</v>
      </c>
      <c r="G111">
        <f>_xlfn.XLOOKUP(Table2[[#This Row],[Trigger]],SwitchButtons[switch],SwitchButtons[input])+Table2[[#This Row],[start]]</f>
        <v>0</v>
      </c>
      <c r="H111" t="s">
        <v>565</v>
      </c>
      <c r="I111" t="str">
        <f>_xlfn.XLOOKUP(Table2[[#This Row],[set1]],circuitoutputs[circuit],circuitoutputs[device])</f>
        <v>D15</v>
      </c>
      <c r="J111">
        <f>_xlfn.XLOOKUP(Table2[[#This Row],[set1]],circuitoutputs[circuit],circuitoutputs[output])</f>
        <v>1</v>
      </c>
      <c r="K111" t="s">
        <v>494</v>
      </c>
    </row>
    <row r="112" spans="1:11" hidden="1" x14ac:dyDescent="0.25">
      <c r="A112" t="s">
        <v>131</v>
      </c>
      <c r="B112" t="s">
        <v>192</v>
      </c>
      <c r="C112" cm="1">
        <f t="array" ref="C112">_xlfn.XLOOKUP(1,(LightSpec[Location]=Table2[[#This Row],[lookup Room]]) * (LightSpec[DiagNo]=Table2[[#This Row],[lookup Device]]), LightSpec[startinput])</f>
        <v>0</v>
      </c>
      <c r="D112" t="s">
        <v>445</v>
      </c>
      <c r="E112" t="s">
        <v>500</v>
      </c>
      <c r="F112" t="str" cm="1">
        <f t="array" aca="1" ref="F112" ca="1">_xlfn.LET(
  _xlpm.txt, _xlfn.XLOOKUP(1,(LightSpec[Location]=Table2[[#This Row],[lookup Room]]) * (LightSpec[DiagNo]=Table2[[#This Row],[lookup Device]]),LightSpec[From]),
  _xlpm.n, LEN(_xlpm.txt),
  _xlpm.pos, MATCH(FALSE, ISNUMBER(MID(_xlpm.txt, ROW(INDIRECT("2:" &amp; _xlpm.n)), 1)*1), 0),
  LEFT(_xlpm.txt, _xlpm.pos)
)</f>
        <v>D19</v>
      </c>
      <c r="G112">
        <f>_xlfn.XLOOKUP(Table2[[#This Row],[Trigger]],SwitchButtons[switch],SwitchButtons[input])+Table2[[#This Row],[start]]</f>
        <v>0</v>
      </c>
      <c r="H112" t="s">
        <v>531</v>
      </c>
      <c r="I112" t="str">
        <f>_xlfn.XLOOKUP(Table2[[#This Row],[set1]],circuitoutputs[circuit],circuitoutputs[device])</f>
        <v>D16</v>
      </c>
      <c r="J112">
        <f>_xlfn.XLOOKUP(Table2[[#This Row],[set1]],circuitoutputs[circuit],circuitoutputs[output])</f>
        <v>0</v>
      </c>
      <c r="K112" t="s">
        <v>494</v>
      </c>
    </row>
    <row r="113" spans="1:11" hidden="1" x14ac:dyDescent="0.25">
      <c r="A113" t="s">
        <v>131</v>
      </c>
      <c r="B113" t="s">
        <v>192</v>
      </c>
      <c r="C113" cm="1">
        <f t="array" ref="C113">_xlfn.XLOOKUP(1,(LightSpec[Location]=Table2[[#This Row],[lookup Room]]) * (LightSpec[DiagNo]=Table2[[#This Row],[lookup Device]]), LightSpec[startinput])</f>
        <v>0</v>
      </c>
      <c r="D113" t="s">
        <v>445</v>
      </c>
      <c r="E113" t="s">
        <v>503</v>
      </c>
      <c r="F113" t="str" cm="1">
        <f t="array" aca="1" ref="F113" ca="1">_xlfn.LET(
  _xlpm.txt, _xlfn.XLOOKUP(1,(LightSpec[Location]=Table2[[#This Row],[lookup Room]]) * (LightSpec[DiagNo]=Table2[[#This Row],[lookup Device]]),LightSpec[From]),
  _xlpm.n, LEN(_xlpm.txt),
  _xlpm.pos, MATCH(FALSE, ISNUMBER(MID(_xlpm.txt, ROW(INDIRECT("2:" &amp; _xlpm.n)), 1)*1), 0),
  LEFT(_xlpm.txt, _xlpm.pos)
)</f>
        <v>D19</v>
      </c>
      <c r="G113">
        <f>_xlfn.XLOOKUP(Table2[[#This Row],[Trigger]],SwitchButtons[switch],SwitchButtons[input])+Table2[[#This Row],[start]]</f>
        <v>0</v>
      </c>
      <c r="H113" t="s">
        <v>530</v>
      </c>
      <c r="I113" t="str">
        <f>_xlfn.XLOOKUP(Table2[[#This Row],[set1]],circuitoutputs[circuit],circuitoutputs[device])</f>
        <v>D15</v>
      </c>
      <c r="J113">
        <f>_xlfn.XLOOKUP(Table2[[#This Row],[set1]],circuitoutputs[circuit],circuitoutputs[output])</f>
        <v>0</v>
      </c>
      <c r="K113" t="s">
        <v>596</v>
      </c>
    </row>
    <row r="114" spans="1:11" hidden="1" x14ac:dyDescent="0.25">
      <c r="A114" t="s">
        <v>131</v>
      </c>
      <c r="B114" t="s">
        <v>192</v>
      </c>
      <c r="C114" cm="1">
        <f t="array" ref="C114">_xlfn.XLOOKUP(1,(LightSpec[Location]=Table2[[#This Row],[lookup Room]]) * (LightSpec[DiagNo]=Table2[[#This Row],[lookup Device]]), LightSpec[startinput])</f>
        <v>0</v>
      </c>
      <c r="D114" t="s">
        <v>445</v>
      </c>
      <c r="E114" t="s">
        <v>503</v>
      </c>
      <c r="F114" t="str" cm="1">
        <f t="array" aca="1" ref="F114" ca="1">_xlfn.LET(
  _xlpm.txt, _xlfn.XLOOKUP(1,(LightSpec[Location]=Table2[[#This Row],[lookup Room]]) * (LightSpec[DiagNo]=Table2[[#This Row],[lookup Device]]),LightSpec[From]),
  _xlpm.n, LEN(_xlpm.txt),
  _xlpm.pos, MATCH(FALSE, ISNUMBER(MID(_xlpm.txt, ROW(INDIRECT("2:" &amp; _xlpm.n)), 1)*1), 0),
  LEFT(_xlpm.txt, _xlpm.pos)
)</f>
        <v>D19</v>
      </c>
      <c r="G114">
        <f>_xlfn.XLOOKUP(Table2[[#This Row],[Trigger]],SwitchButtons[switch],SwitchButtons[input])+Table2[[#This Row],[start]]</f>
        <v>0</v>
      </c>
      <c r="H114" t="s">
        <v>565</v>
      </c>
      <c r="I114" t="str">
        <f>_xlfn.XLOOKUP(Table2[[#This Row],[set1]],circuitoutputs[circuit],circuitoutputs[device])</f>
        <v>D15</v>
      </c>
      <c r="J114">
        <f>_xlfn.XLOOKUP(Table2[[#This Row],[set1]],circuitoutputs[circuit],circuitoutputs[output])</f>
        <v>1</v>
      </c>
      <c r="K114" t="s">
        <v>596</v>
      </c>
    </row>
    <row r="115" spans="1:11" hidden="1" x14ac:dyDescent="0.25">
      <c r="A115" t="s">
        <v>131</v>
      </c>
      <c r="B115" t="s">
        <v>192</v>
      </c>
      <c r="C115" cm="1">
        <f t="array" ref="C115">_xlfn.XLOOKUP(1,(LightSpec[Location]=Table2[[#This Row],[lookup Room]]) * (LightSpec[DiagNo]=Table2[[#This Row],[lookup Device]]), LightSpec[startinput])</f>
        <v>0</v>
      </c>
      <c r="D115" t="s">
        <v>445</v>
      </c>
      <c r="E115" t="s">
        <v>503</v>
      </c>
      <c r="F115" t="str" cm="1">
        <f t="array" aca="1" ref="F115" ca="1">_xlfn.LET(
  _xlpm.txt, _xlfn.XLOOKUP(1,(LightSpec[Location]=Table2[[#This Row],[lookup Room]]) * (LightSpec[DiagNo]=Table2[[#This Row],[lookup Device]]),LightSpec[From]),
  _xlpm.n, LEN(_xlpm.txt),
  _xlpm.pos, MATCH(FALSE, ISNUMBER(MID(_xlpm.txt, ROW(INDIRECT("2:" &amp; _xlpm.n)), 1)*1), 0),
  LEFT(_xlpm.txt, _xlpm.pos)
)</f>
        <v>D19</v>
      </c>
      <c r="G115">
        <f>_xlfn.XLOOKUP(Table2[[#This Row],[Trigger]],SwitchButtons[switch],SwitchButtons[input])+Table2[[#This Row],[start]]</f>
        <v>0</v>
      </c>
      <c r="H115" t="s">
        <v>531</v>
      </c>
      <c r="I115" t="str">
        <f>_xlfn.XLOOKUP(Table2[[#This Row],[set1]],circuitoutputs[circuit],circuitoutputs[device])</f>
        <v>D16</v>
      </c>
      <c r="J115">
        <f>_xlfn.XLOOKUP(Table2[[#This Row],[set1]],circuitoutputs[circuit],circuitoutputs[output])</f>
        <v>0</v>
      </c>
      <c r="K115" t="s">
        <v>596</v>
      </c>
    </row>
    <row r="116" spans="1:11" hidden="1" x14ac:dyDescent="0.25">
      <c r="A116" t="s">
        <v>131</v>
      </c>
      <c r="B116" t="s">
        <v>192</v>
      </c>
      <c r="C116" cm="1">
        <f t="array" ref="C116">_xlfn.XLOOKUP(1,(LightSpec[Location]=Table2[[#This Row],[lookup Room]]) * (LightSpec[DiagNo]=Table2[[#This Row],[lookup Device]]), LightSpec[startinput])</f>
        <v>0</v>
      </c>
      <c r="D116" t="s">
        <v>446</v>
      </c>
      <c r="E116" t="s">
        <v>500</v>
      </c>
      <c r="F116" t="str" cm="1">
        <f t="array" aca="1" ref="F116" ca="1">_xlfn.LET(
  _xlpm.txt, _xlfn.XLOOKUP(1,(LightSpec[Location]=Table2[[#This Row],[lookup Room]]) * (LightSpec[DiagNo]=Table2[[#This Row],[lookup Device]]),LightSpec[From]),
  _xlpm.n, LEN(_xlpm.txt),
  _xlpm.pos, MATCH(FALSE, ISNUMBER(MID(_xlpm.txt, ROW(INDIRECT("2:" &amp; _xlpm.n)), 1)*1), 0),
  LEFT(_xlpm.txt, _xlpm.pos)
)</f>
        <v>D19</v>
      </c>
      <c r="G116">
        <f>_xlfn.XLOOKUP(Table2[[#This Row],[Trigger]],SwitchButtons[switch],SwitchButtons[input])+Table2[[#This Row],[start]]</f>
        <v>1</v>
      </c>
      <c r="H116" t="s">
        <v>530</v>
      </c>
      <c r="I116" t="str">
        <f>_xlfn.XLOOKUP(Table2[[#This Row],[set1]],circuitoutputs[circuit],circuitoutputs[device])</f>
        <v>D15</v>
      </c>
      <c r="J116">
        <f>_xlfn.XLOOKUP(Table2[[#This Row],[set1]],circuitoutputs[circuit],circuitoutputs[output])</f>
        <v>0</v>
      </c>
      <c r="K116" t="s">
        <v>495</v>
      </c>
    </row>
    <row r="117" spans="1:11" hidden="1" x14ac:dyDescent="0.25">
      <c r="A117" t="s">
        <v>131</v>
      </c>
      <c r="B117" t="s">
        <v>192</v>
      </c>
      <c r="C117" cm="1">
        <f t="array" ref="C117">_xlfn.XLOOKUP(1,(LightSpec[Location]=Table2[[#This Row],[lookup Room]]) * (LightSpec[DiagNo]=Table2[[#This Row],[lookup Device]]), LightSpec[startinput])</f>
        <v>0</v>
      </c>
      <c r="D117" t="s">
        <v>446</v>
      </c>
      <c r="E117" t="s">
        <v>500</v>
      </c>
      <c r="F117" t="str" cm="1">
        <f t="array" aca="1" ref="F117" ca="1">_xlfn.LET(
  _xlpm.txt, _xlfn.XLOOKUP(1,(LightSpec[Location]=Table2[[#This Row],[lookup Room]]) * (LightSpec[DiagNo]=Table2[[#This Row],[lookup Device]]),LightSpec[From]),
  _xlpm.n, LEN(_xlpm.txt),
  _xlpm.pos, MATCH(FALSE, ISNUMBER(MID(_xlpm.txt, ROW(INDIRECT("2:" &amp; _xlpm.n)), 1)*1), 0),
  LEFT(_xlpm.txt, _xlpm.pos)
)</f>
        <v>D19</v>
      </c>
      <c r="G117">
        <f>_xlfn.XLOOKUP(Table2[[#This Row],[Trigger]],SwitchButtons[switch],SwitchButtons[input])+Table2[[#This Row],[start]]</f>
        <v>1</v>
      </c>
      <c r="H117" t="s">
        <v>565</v>
      </c>
      <c r="I117" t="str">
        <f>_xlfn.XLOOKUP(Table2[[#This Row],[set1]],circuitoutputs[circuit],circuitoutputs[device])</f>
        <v>D15</v>
      </c>
      <c r="J117">
        <f>_xlfn.XLOOKUP(Table2[[#This Row],[set1]],circuitoutputs[circuit],circuitoutputs[output])</f>
        <v>1</v>
      </c>
      <c r="K117" t="s">
        <v>495</v>
      </c>
    </row>
    <row r="118" spans="1:11" hidden="1" x14ac:dyDescent="0.25">
      <c r="A118" t="s">
        <v>131</v>
      </c>
      <c r="B118" t="s">
        <v>192</v>
      </c>
      <c r="C118" cm="1">
        <f t="array" ref="C118">_xlfn.XLOOKUP(1,(LightSpec[Location]=Table2[[#This Row],[lookup Room]]) * (LightSpec[DiagNo]=Table2[[#This Row],[lookup Device]]), LightSpec[startinput])</f>
        <v>0</v>
      </c>
      <c r="D118" t="s">
        <v>446</v>
      </c>
      <c r="E118" t="s">
        <v>500</v>
      </c>
      <c r="F118" t="str" cm="1">
        <f t="array" aca="1" ref="F118" ca="1">_xlfn.LET(
  _xlpm.txt, _xlfn.XLOOKUP(1,(LightSpec[Location]=Table2[[#This Row],[lookup Room]]) * (LightSpec[DiagNo]=Table2[[#This Row],[lookup Device]]),LightSpec[From]),
  _xlpm.n, LEN(_xlpm.txt),
  _xlpm.pos, MATCH(FALSE, ISNUMBER(MID(_xlpm.txt, ROW(INDIRECT("2:" &amp; _xlpm.n)), 1)*1), 0),
  LEFT(_xlpm.txt, _xlpm.pos)
)</f>
        <v>D19</v>
      </c>
      <c r="G118">
        <f>_xlfn.XLOOKUP(Table2[[#This Row],[Trigger]],SwitchButtons[switch],SwitchButtons[input])+Table2[[#This Row],[start]]</f>
        <v>1</v>
      </c>
      <c r="H118" t="s">
        <v>531</v>
      </c>
      <c r="I118" t="str">
        <f>_xlfn.XLOOKUP(Table2[[#This Row],[set1]],circuitoutputs[circuit],circuitoutputs[device])</f>
        <v>D16</v>
      </c>
      <c r="J118">
        <f>_xlfn.XLOOKUP(Table2[[#This Row],[set1]],circuitoutputs[circuit],circuitoutputs[output])</f>
        <v>0</v>
      </c>
      <c r="K118" t="s">
        <v>495</v>
      </c>
    </row>
    <row r="119" spans="1:11" hidden="1" x14ac:dyDescent="0.25">
      <c r="A119" t="s">
        <v>131</v>
      </c>
      <c r="B119" t="s">
        <v>192</v>
      </c>
      <c r="C119" cm="1">
        <f t="array" ref="C119">_xlfn.XLOOKUP(1,(LightSpec[Location]=Table2[[#This Row],[lookup Room]]) * (LightSpec[DiagNo]=Table2[[#This Row],[lookup Device]]), LightSpec[startinput])</f>
        <v>0</v>
      </c>
      <c r="D119" t="s">
        <v>447</v>
      </c>
      <c r="E119" t="s">
        <v>500</v>
      </c>
      <c r="F119" t="str" cm="1">
        <f t="array" aca="1" ref="F119" ca="1">_xlfn.LET(
  _xlpm.txt, _xlfn.XLOOKUP(1,(LightSpec[Location]=Table2[[#This Row],[lookup Room]]) * (LightSpec[DiagNo]=Table2[[#This Row],[lookup Device]]),LightSpec[From]),
  _xlpm.n, LEN(_xlpm.txt),
  _xlpm.pos, MATCH(FALSE, ISNUMBER(MID(_xlpm.txt, ROW(INDIRECT("2:" &amp; _xlpm.n)), 1)*1), 0),
  LEFT(_xlpm.txt, _xlpm.pos)
)</f>
        <v>D19</v>
      </c>
      <c r="G119">
        <f>_xlfn.XLOOKUP(Table2[[#This Row],[Trigger]],SwitchButtons[switch],SwitchButtons[input])+Table2[[#This Row],[start]]</f>
        <v>2</v>
      </c>
      <c r="H119" t="s">
        <v>568</v>
      </c>
      <c r="I119" t="str">
        <f>_xlfn.XLOOKUP(Table2[[#This Row],[set1]],circuitoutputs[circuit],circuitoutputs[device])</f>
        <v>D18</v>
      </c>
      <c r="J119">
        <f>_xlfn.XLOOKUP(Table2[[#This Row],[set1]],circuitoutputs[circuit],circuitoutputs[output])</f>
        <v>1</v>
      </c>
      <c r="K119" t="s">
        <v>494</v>
      </c>
    </row>
    <row r="120" spans="1:11" hidden="1" x14ac:dyDescent="0.25">
      <c r="A120" t="s">
        <v>131</v>
      </c>
      <c r="B120" t="s">
        <v>192</v>
      </c>
      <c r="C120" cm="1">
        <f t="array" ref="C120">_xlfn.XLOOKUP(1,(LightSpec[Location]=Table2[[#This Row],[lookup Room]]) * (LightSpec[DiagNo]=Table2[[#This Row],[lookup Device]]), LightSpec[startinput])</f>
        <v>0</v>
      </c>
      <c r="D120" t="s">
        <v>447</v>
      </c>
      <c r="E120" t="s">
        <v>500</v>
      </c>
      <c r="F120" t="str" cm="1">
        <f t="array" aca="1" ref="F120" ca="1">_xlfn.LET(
  _xlpm.txt, _xlfn.XLOOKUP(1,(LightSpec[Location]=Table2[[#This Row],[lookup Room]]) * (LightSpec[DiagNo]=Table2[[#This Row],[lookup Device]]),LightSpec[From]),
  _xlpm.n, LEN(_xlpm.txt),
  _xlpm.pos, MATCH(FALSE, ISNUMBER(MID(_xlpm.txt, ROW(INDIRECT("2:" &amp; _xlpm.n)), 1)*1), 0),
  LEFT(_xlpm.txt, _xlpm.pos)
)</f>
        <v>D19</v>
      </c>
      <c r="G120">
        <f>_xlfn.XLOOKUP(Table2[[#This Row],[Trigger]],SwitchButtons[switch],SwitchButtons[input])+Table2[[#This Row],[start]]</f>
        <v>2</v>
      </c>
      <c r="H120" t="s">
        <v>534</v>
      </c>
      <c r="I120" t="str">
        <f>_xlfn.XLOOKUP(Table2[[#This Row],[set1]],circuitoutputs[circuit],circuitoutputs[device])</f>
        <v>D19</v>
      </c>
      <c r="J120">
        <f>_xlfn.XLOOKUP(Table2[[#This Row],[set1]],circuitoutputs[circuit],circuitoutputs[output])</f>
        <v>0</v>
      </c>
      <c r="K120" t="s">
        <v>494</v>
      </c>
    </row>
    <row r="121" spans="1:11" hidden="1" x14ac:dyDescent="0.25">
      <c r="A121" t="s">
        <v>131</v>
      </c>
      <c r="B121" t="s">
        <v>192</v>
      </c>
      <c r="C121" cm="1">
        <f t="array" ref="C121">_xlfn.XLOOKUP(1,(LightSpec[Location]=Table2[[#This Row],[lookup Room]]) * (LightSpec[DiagNo]=Table2[[#This Row],[lookup Device]]), LightSpec[startinput])</f>
        <v>0</v>
      </c>
      <c r="D121" t="s">
        <v>447</v>
      </c>
      <c r="E121" t="s">
        <v>500</v>
      </c>
      <c r="F121" t="str" cm="1">
        <f t="array" aca="1" ref="F121" ca="1">_xlfn.LET(
  _xlpm.txt, _xlfn.XLOOKUP(1,(LightSpec[Location]=Table2[[#This Row],[lookup Room]]) * (LightSpec[DiagNo]=Table2[[#This Row],[lookup Device]]),LightSpec[From]),
  _xlpm.n, LEN(_xlpm.txt),
  _xlpm.pos, MATCH(FALSE, ISNUMBER(MID(_xlpm.txt, ROW(INDIRECT("2:" &amp; _xlpm.n)), 1)*1), 0),
  LEFT(_xlpm.txt, _xlpm.pos)
)</f>
        <v>D19</v>
      </c>
      <c r="G121">
        <f>_xlfn.XLOOKUP(Table2[[#This Row],[Trigger]],SwitchButtons[switch],SwitchButtons[input])+Table2[[#This Row],[start]]</f>
        <v>2</v>
      </c>
      <c r="H121" t="s">
        <v>569</v>
      </c>
      <c r="I121" t="str">
        <f>_xlfn.XLOOKUP(Table2[[#This Row],[set1]],circuitoutputs[circuit],circuitoutputs[device])</f>
        <v>D19</v>
      </c>
      <c r="J121">
        <f>_xlfn.XLOOKUP(Table2[[#This Row],[set1]],circuitoutputs[circuit],circuitoutputs[output])</f>
        <v>1</v>
      </c>
      <c r="K121" t="s">
        <v>494</v>
      </c>
    </row>
    <row r="122" spans="1:11" hidden="1" x14ac:dyDescent="0.25">
      <c r="A122" t="s">
        <v>131</v>
      </c>
      <c r="B122" t="s">
        <v>192</v>
      </c>
      <c r="C122" cm="1">
        <f t="array" ref="C122">_xlfn.XLOOKUP(1,(LightSpec[Location]=Table2[[#This Row],[lookup Room]]) * (LightSpec[DiagNo]=Table2[[#This Row],[lookup Device]]), LightSpec[startinput])</f>
        <v>0</v>
      </c>
      <c r="D122" t="s">
        <v>447</v>
      </c>
      <c r="E122" t="s">
        <v>500</v>
      </c>
      <c r="F122" t="str" cm="1">
        <f t="array" aca="1" ref="F122" ca="1">_xlfn.LET(
  _xlpm.txt, _xlfn.XLOOKUP(1,(LightSpec[Location]=Table2[[#This Row],[lookup Room]]) * (LightSpec[DiagNo]=Table2[[#This Row],[lookup Device]]),LightSpec[From]),
  _xlpm.n, LEN(_xlpm.txt),
  _xlpm.pos, MATCH(FALSE, ISNUMBER(MID(_xlpm.txt, ROW(INDIRECT("2:" &amp; _xlpm.n)), 1)*1), 0),
  LEFT(_xlpm.txt, _xlpm.pos)
)</f>
        <v>D19</v>
      </c>
      <c r="G122">
        <f>_xlfn.XLOOKUP(Table2[[#This Row],[Trigger]],SwitchButtons[switch],SwitchButtons[input])+Table2[[#This Row],[start]]</f>
        <v>2</v>
      </c>
      <c r="H122" t="s">
        <v>535</v>
      </c>
      <c r="I122" t="str">
        <f>_xlfn.XLOOKUP(Table2[[#This Row],[set1]],circuitoutputs[circuit],circuitoutputs[device])</f>
        <v>D20</v>
      </c>
      <c r="J122">
        <f>_xlfn.XLOOKUP(Table2[[#This Row],[set1]],circuitoutputs[circuit],circuitoutputs[output])</f>
        <v>0</v>
      </c>
      <c r="K122" t="s">
        <v>494</v>
      </c>
    </row>
    <row r="123" spans="1:11" hidden="1" x14ac:dyDescent="0.25">
      <c r="A123" t="s">
        <v>131</v>
      </c>
      <c r="B123" t="s">
        <v>192</v>
      </c>
      <c r="C123" cm="1">
        <f t="array" ref="C123">_xlfn.XLOOKUP(1,(LightSpec[Location]=Table2[[#This Row],[lookup Room]]) * (LightSpec[DiagNo]=Table2[[#This Row],[lookup Device]]), LightSpec[startinput])</f>
        <v>0</v>
      </c>
      <c r="D123" t="s">
        <v>447</v>
      </c>
      <c r="E123" t="s">
        <v>500</v>
      </c>
      <c r="F123" t="str" cm="1">
        <f t="array" aca="1" ref="F123" ca="1">_xlfn.LET(
  _xlpm.txt, _xlfn.XLOOKUP(1,(LightSpec[Location]=Table2[[#This Row],[lookup Room]]) * (LightSpec[DiagNo]=Table2[[#This Row],[lookup Device]]),LightSpec[From]),
  _xlpm.n, LEN(_xlpm.txt),
  _xlpm.pos, MATCH(FALSE, ISNUMBER(MID(_xlpm.txt, ROW(INDIRECT("2:" &amp; _xlpm.n)), 1)*1), 0),
  LEFT(_xlpm.txt, _xlpm.pos)
)</f>
        <v>D19</v>
      </c>
      <c r="G123">
        <f>_xlfn.XLOOKUP(Table2[[#This Row],[Trigger]],SwitchButtons[switch],SwitchButtons[input])+Table2[[#This Row],[start]]</f>
        <v>2</v>
      </c>
      <c r="H123" t="s">
        <v>570</v>
      </c>
      <c r="I123" t="str">
        <f>_xlfn.XLOOKUP(Table2[[#This Row],[set1]],circuitoutputs[circuit],circuitoutputs[device])</f>
        <v>D20</v>
      </c>
      <c r="J123">
        <f>_xlfn.XLOOKUP(Table2[[#This Row],[set1]],circuitoutputs[circuit],circuitoutputs[output])</f>
        <v>1</v>
      </c>
      <c r="K123" t="s">
        <v>494</v>
      </c>
    </row>
    <row r="124" spans="1:11" hidden="1" x14ac:dyDescent="0.25">
      <c r="A124" t="s">
        <v>131</v>
      </c>
      <c r="B124" t="s">
        <v>192</v>
      </c>
      <c r="C124" cm="1">
        <f t="array" ref="C124">_xlfn.XLOOKUP(1,(LightSpec[Location]=Table2[[#This Row],[lookup Room]]) * (LightSpec[DiagNo]=Table2[[#This Row],[lookup Device]]), LightSpec[startinput])</f>
        <v>0</v>
      </c>
      <c r="D124" t="s">
        <v>447</v>
      </c>
      <c r="E124" t="s">
        <v>501</v>
      </c>
      <c r="F124" t="str" cm="1">
        <f t="array" aca="1" ref="F124" ca="1">_xlfn.LET(
  _xlpm.txt, _xlfn.XLOOKUP(1,(LightSpec[Location]=Table2[[#This Row],[lookup Room]]) * (LightSpec[DiagNo]=Table2[[#This Row],[lookup Device]]),LightSpec[From]),
  _xlpm.n, LEN(_xlpm.txt),
  _xlpm.pos, MATCH(FALSE, ISNUMBER(MID(_xlpm.txt, ROW(INDIRECT("2:" &amp; _xlpm.n)), 1)*1), 0),
  LEFT(_xlpm.txt, _xlpm.pos)
)</f>
        <v>D19</v>
      </c>
      <c r="G124">
        <f>_xlfn.XLOOKUP(Table2[[#This Row],[Trigger]],SwitchButtons[switch],SwitchButtons[input])+Table2[[#This Row],[start]]</f>
        <v>2</v>
      </c>
      <c r="H124" t="s">
        <v>536</v>
      </c>
      <c r="I124" t="str">
        <f>_xlfn.XLOOKUP(Table2[[#This Row],[set1]],circuitoutputs[circuit],circuitoutputs[device])</f>
        <v>D21</v>
      </c>
      <c r="J124">
        <f>_xlfn.XLOOKUP(Table2[[#This Row],[set1]],circuitoutputs[circuit],circuitoutputs[output])</f>
        <v>0</v>
      </c>
      <c r="K124" t="s">
        <v>419</v>
      </c>
    </row>
    <row r="125" spans="1:11" hidden="1" x14ac:dyDescent="0.25">
      <c r="A125" t="s">
        <v>131</v>
      </c>
      <c r="B125" t="s">
        <v>192</v>
      </c>
      <c r="C125" cm="1">
        <f t="array" ref="C125">_xlfn.XLOOKUP(1,(LightSpec[Location]=Table2[[#This Row],[lookup Room]]) * (LightSpec[DiagNo]=Table2[[#This Row],[lookup Device]]), LightSpec[startinput])</f>
        <v>0</v>
      </c>
      <c r="D125" t="s">
        <v>447</v>
      </c>
      <c r="E125" t="s">
        <v>503</v>
      </c>
      <c r="F125" t="str" cm="1">
        <f t="array" aca="1" ref="F125" ca="1">_xlfn.LET(
  _xlpm.txt, _xlfn.XLOOKUP(1,(LightSpec[Location]=Table2[[#This Row],[lookup Room]]) * (LightSpec[DiagNo]=Table2[[#This Row],[lookup Device]]),LightSpec[From]),
  _xlpm.n, LEN(_xlpm.txt),
  _xlpm.pos, MATCH(FALSE, ISNUMBER(MID(_xlpm.txt, ROW(INDIRECT("2:" &amp; _xlpm.n)), 1)*1), 0),
  LEFT(_xlpm.txt, _xlpm.pos)
)</f>
        <v>D19</v>
      </c>
      <c r="G125">
        <f>_xlfn.XLOOKUP(Table2[[#This Row],[Trigger]],SwitchButtons[switch],SwitchButtons[input])+Table2[[#This Row],[start]]</f>
        <v>2</v>
      </c>
      <c r="H125" t="s">
        <v>568</v>
      </c>
      <c r="I125" t="str">
        <f>_xlfn.XLOOKUP(Table2[[#This Row],[set1]],circuitoutputs[circuit],circuitoutputs[device])</f>
        <v>D18</v>
      </c>
      <c r="J125">
        <f>_xlfn.XLOOKUP(Table2[[#This Row],[set1]],circuitoutputs[circuit],circuitoutputs[output])</f>
        <v>1</v>
      </c>
      <c r="K125" t="s">
        <v>596</v>
      </c>
    </row>
    <row r="126" spans="1:11" hidden="1" x14ac:dyDescent="0.25">
      <c r="A126" t="s">
        <v>131</v>
      </c>
      <c r="B126" t="s">
        <v>192</v>
      </c>
      <c r="C126" cm="1">
        <f t="array" ref="C126">_xlfn.XLOOKUP(1,(LightSpec[Location]=Table2[[#This Row],[lookup Room]]) * (LightSpec[DiagNo]=Table2[[#This Row],[lookup Device]]), LightSpec[startinput])</f>
        <v>0</v>
      </c>
      <c r="D126" t="s">
        <v>447</v>
      </c>
      <c r="E126" t="s">
        <v>503</v>
      </c>
      <c r="F126" t="str" cm="1">
        <f t="array" aca="1" ref="F126" ca="1">_xlfn.LET(
  _xlpm.txt, _xlfn.XLOOKUP(1,(LightSpec[Location]=Table2[[#This Row],[lookup Room]]) * (LightSpec[DiagNo]=Table2[[#This Row],[lookup Device]]),LightSpec[From]),
  _xlpm.n, LEN(_xlpm.txt),
  _xlpm.pos, MATCH(FALSE, ISNUMBER(MID(_xlpm.txt, ROW(INDIRECT("2:" &amp; _xlpm.n)), 1)*1), 0),
  LEFT(_xlpm.txt, _xlpm.pos)
)</f>
        <v>D19</v>
      </c>
      <c r="G126">
        <f>_xlfn.XLOOKUP(Table2[[#This Row],[Trigger]],SwitchButtons[switch],SwitchButtons[input])+Table2[[#This Row],[start]]</f>
        <v>2</v>
      </c>
      <c r="H126" t="s">
        <v>534</v>
      </c>
      <c r="I126" t="str">
        <f>_xlfn.XLOOKUP(Table2[[#This Row],[set1]],circuitoutputs[circuit],circuitoutputs[device])</f>
        <v>D19</v>
      </c>
      <c r="J126">
        <f>_xlfn.XLOOKUP(Table2[[#This Row],[set1]],circuitoutputs[circuit],circuitoutputs[output])</f>
        <v>0</v>
      </c>
      <c r="K126" t="s">
        <v>596</v>
      </c>
    </row>
    <row r="127" spans="1:11" hidden="1" x14ac:dyDescent="0.25">
      <c r="A127" t="s">
        <v>131</v>
      </c>
      <c r="B127" t="s">
        <v>192</v>
      </c>
      <c r="C127" cm="1">
        <f t="array" ref="C127">_xlfn.XLOOKUP(1,(LightSpec[Location]=Table2[[#This Row],[lookup Room]]) * (LightSpec[DiagNo]=Table2[[#This Row],[lookup Device]]), LightSpec[startinput])</f>
        <v>0</v>
      </c>
      <c r="D127" t="s">
        <v>447</v>
      </c>
      <c r="E127" t="s">
        <v>503</v>
      </c>
      <c r="F127" t="str" cm="1">
        <f t="array" aca="1" ref="F127" ca="1">_xlfn.LET(
  _xlpm.txt, _xlfn.XLOOKUP(1,(LightSpec[Location]=Table2[[#This Row],[lookup Room]]) * (LightSpec[DiagNo]=Table2[[#This Row],[lookup Device]]),LightSpec[From]),
  _xlpm.n, LEN(_xlpm.txt),
  _xlpm.pos, MATCH(FALSE, ISNUMBER(MID(_xlpm.txt, ROW(INDIRECT("2:" &amp; _xlpm.n)), 1)*1), 0),
  LEFT(_xlpm.txt, _xlpm.pos)
)</f>
        <v>D19</v>
      </c>
      <c r="G127">
        <f>_xlfn.XLOOKUP(Table2[[#This Row],[Trigger]],SwitchButtons[switch],SwitchButtons[input])+Table2[[#This Row],[start]]</f>
        <v>2</v>
      </c>
      <c r="H127" t="s">
        <v>569</v>
      </c>
      <c r="I127" t="str">
        <f>_xlfn.XLOOKUP(Table2[[#This Row],[set1]],circuitoutputs[circuit],circuitoutputs[device])</f>
        <v>D19</v>
      </c>
      <c r="J127">
        <f>_xlfn.XLOOKUP(Table2[[#This Row],[set1]],circuitoutputs[circuit],circuitoutputs[output])</f>
        <v>1</v>
      </c>
      <c r="K127" t="s">
        <v>596</v>
      </c>
    </row>
    <row r="128" spans="1:11" hidden="1" x14ac:dyDescent="0.25">
      <c r="A128" t="s">
        <v>131</v>
      </c>
      <c r="B128" t="s">
        <v>192</v>
      </c>
      <c r="C128" cm="1">
        <f t="array" ref="C128">_xlfn.XLOOKUP(1,(LightSpec[Location]=Table2[[#This Row],[lookup Room]]) * (LightSpec[DiagNo]=Table2[[#This Row],[lookup Device]]), LightSpec[startinput])</f>
        <v>0</v>
      </c>
      <c r="D128" t="s">
        <v>447</v>
      </c>
      <c r="E128" t="s">
        <v>503</v>
      </c>
      <c r="F128" t="str" cm="1">
        <f t="array" aca="1" ref="F128" ca="1">_xlfn.LET(
  _xlpm.txt, _xlfn.XLOOKUP(1,(LightSpec[Location]=Table2[[#This Row],[lookup Room]]) * (LightSpec[DiagNo]=Table2[[#This Row],[lookup Device]]),LightSpec[From]),
  _xlpm.n, LEN(_xlpm.txt),
  _xlpm.pos, MATCH(FALSE, ISNUMBER(MID(_xlpm.txt, ROW(INDIRECT("2:" &amp; _xlpm.n)), 1)*1), 0),
  LEFT(_xlpm.txt, _xlpm.pos)
)</f>
        <v>D19</v>
      </c>
      <c r="G128">
        <f>_xlfn.XLOOKUP(Table2[[#This Row],[Trigger]],SwitchButtons[switch],SwitchButtons[input])+Table2[[#This Row],[start]]</f>
        <v>2</v>
      </c>
      <c r="H128" t="s">
        <v>535</v>
      </c>
      <c r="I128" t="str">
        <f>_xlfn.XLOOKUP(Table2[[#This Row],[set1]],circuitoutputs[circuit],circuitoutputs[device])</f>
        <v>D20</v>
      </c>
      <c r="J128">
        <f>_xlfn.XLOOKUP(Table2[[#This Row],[set1]],circuitoutputs[circuit],circuitoutputs[output])</f>
        <v>0</v>
      </c>
      <c r="K128" t="s">
        <v>596</v>
      </c>
    </row>
    <row r="129" spans="1:11" hidden="1" x14ac:dyDescent="0.25">
      <c r="A129" t="s">
        <v>131</v>
      </c>
      <c r="B129" t="s">
        <v>192</v>
      </c>
      <c r="C129" cm="1">
        <f t="array" ref="C129">_xlfn.XLOOKUP(1,(LightSpec[Location]=Table2[[#This Row],[lookup Room]]) * (LightSpec[DiagNo]=Table2[[#This Row],[lookup Device]]), LightSpec[startinput])</f>
        <v>0</v>
      </c>
      <c r="D129" t="s">
        <v>447</v>
      </c>
      <c r="E129" t="s">
        <v>503</v>
      </c>
      <c r="F129" t="str" cm="1">
        <f t="array" aca="1" ref="F129" ca="1">_xlfn.LET(
  _xlpm.txt, _xlfn.XLOOKUP(1,(LightSpec[Location]=Table2[[#This Row],[lookup Room]]) * (LightSpec[DiagNo]=Table2[[#This Row],[lookup Device]]),LightSpec[From]),
  _xlpm.n, LEN(_xlpm.txt),
  _xlpm.pos, MATCH(FALSE, ISNUMBER(MID(_xlpm.txt, ROW(INDIRECT("2:" &amp; _xlpm.n)), 1)*1), 0),
  LEFT(_xlpm.txt, _xlpm.pos)
)</f>
        <v>D19</v>
      </c>
      <c r="G129">
        <f>_xlfn.XLOOKUP(Table2[[#This Row],[Trigger]],SwitchButtons[switch],SwitchButtons[input])+Table2[[#This Row],[start]]</f>
        <v>2</v>
      </c>
      <c r="H129" t="s">
        <v>570</v>
      </c>
      <c r="I129" t="str">
        <f>_xlfn.XLOOKUP(Table2[[#This Row],[set1]],circuitoutputs[circuit],circuitoutputs[device])</f>
        <v>D20</v>
      </c>
      <c r="J129">
        <f>_xlfn.XLOOKUP(Table2[[#This Row],[set1]],circuitoutputs[circuit],circuitoutputs[output])</f>
        <v>1</v>
      </c>
      <c r="K129" t="s">
        <v>596</v>
      </c>
    </row>
    <row r="130" spans="1:11" hidden="1" x14ac:dyDescent="0.25">
      <c r="A130" t="s">
        <v>131</v>
      </c>
      <c r="B130" t="s">
        <v>192</v>
      </c>
      <c r="C130" cm="1">
        <f t="array" ref="C130">_xlfn.XLOOKUP(1,(LightSpec[Location]=Table2[[#This Row],[lookup Room]]) * (LightSpec[DiagNo]=Table2[[#This Row],[lookup Device]]), LightSpec[startinput])</f>
        <v>0</v>
      </c>
      <c r="D130" t="s">
        <v>448</v>
      </c>
      <c r="E130" t="s">
        <v>500</v>
      </c>
      <c r="F130" t="str" cm="1">
        <f t="array" aca="1" ref="F130" ca="1">_xlfn.LET(
  _xlpm.txt, _xlfn.XLOOKUP(1,(LightSpec[Location]=Table2[[#This Row],[lookup Room]]) * (LightSpec[DiagNo]=Table2[[#This Row],[lookup Device]]),LightSpec[From]),
  _xlpm.n, LEN(_xlpm.txt),
  _xlpm.pos, MATCH(FALSE, ISNUMBER(MID(_xlpm.txt, ROW(INDIRECT("2:" &amp; _xlpm.n)), 1)*1), 0),
  LEFT(_xlpm.txt, _xlpm.pos)
)</f>
        <v>D19</v>
      </c>
      <c r="G130">
        <f>_xlfn.XLOOKUP(Table2[[#This Row],[Trigger]],SwitchButtons[switch],SwitchButtons[input])+Table2[[#This Row],[start]]</f>
        <v>3</v>
      </c>
      <c r="H130" t="s">
        <v>568</v>
      </c>
      <c r="I130" t="str">
        <f>_xlfn.XLOOKUP(Table2[[#This Row],[set1]],circuitoutputs[circuit],circuitoutputs[device])</f>
        <v>D18</v>
      </c>
      <c r="J130">
        <f>_xlfn.XLOOKUP(Table2[[#This Row],[set1]],circuitoutputs[circuit],circuitoutputs[output])</f>
        <v>1</v>
      </c>
      <c r="K130" t="s">
        <v>495</v>
      </c>
    </row>
    <row r="131" spans="1:11" hidden="1" x14ac:dyDescent="0.25">
      <c r="A131" t="s">
        <v>131</v>
      </c>
      <c r="B131" t="s">
        <v>192</v>
      </c>
      <c r="C131" cm="1">
        <f t="array" ref="C131">_xlfn.XLOOKUP(1,(LightSpec[Location]=Table2[[#This Row],[lookup Room]]) * (LightSpec[DiagNo]=Table2[[#This Row],[lookup Device]]), LightSpec[startinput])</f>
        <v>0</v>
      </c>
      <c r="D131" t="s">
        <v>448</v>
      </c>
      <c r="E131" t="s">
        <v>500</v>
      </c>
      <c r="F131" t="str" cm="1">
        <f t="array" aca="1" ref="F131" ca="1">_xlfn.LET(
  _xlpm.txt, _xlfn.XLOOKUP(1,(LightSpec[Location]=Table2[[#This Row],[lookup Room]]) * (LightSpec[DiagNo]=Table2[[#This Row],[lookup Device]]),LightSpec[From]),
  _xlpm.n, LEN(_xlpm.txt),
  _xlpm.pos, MATCH(FALSE, ISNUMBER(MID(_xlpm.txt, ROW(INDIRECT("2:" &amp; _xlpm.n)), 1)*1), 0),
  LEFT(_xlpm.txt, _xlpm.pos)
)</f>
        <v>D19</v>
      </c>
      <c r="G131">
        <f>_xlfn.XLOOKUP(Table2[[#This Row],[Trigger]],SwitchButtons[switch],SwitchButtons[input])+Table2[[#This Row],[start]]</f>
        <v>3</v>
      </c>
      <c r="H131" t="s">
        <v>534</v>
      </c>
      <c r="I131" t="str">
        <f>_xlfn.XLOOKUP(Table2[[#This Row],[set1]],circuitoutputs[circuit],circuitoutputs[device])</f>
        <v>D19</v>
      </c>
      <c r="J131">
        <f>_xlfn.XLOOKUP(Table2[[#This Row],[set1]],circuitoutputs[circuit],circuitoutputs[output])</f>
        <v>0</v>
      </c>
      <c r="K131" t="s">
        <v>495</v>
      </c>
    </row>
    <row r="132" spans="1:11" hidden="1" x14ac:dyDescent="0.25">
      <c r="A132" t="s">
        <v>131</v>
      </c>
      <c r="B132" t="s">
        <v>192</v>
      </c>
      <c r="C132" cm="1">
        <f t="array" ref="C132">_xlfn.XLOOKUP(1,(LightSpec[Location]=Table2[[#This Row],[lookup Room]]) * (LightSpec[DiagNo]=Table2[[#This Row],[lookup Device]]), LightSpec[startinput])</f>
        <v>0</v>
      </c>
      <c r="D132" t="s">
        <v>448</v>
      </c>
      <c r="E132" t="s">
        <v>500</v>
      </c>
      <c r="F132" t="str" cm="1">
        <f t="array" aca="1" ref="F132" ca="1">_xlfn.LET(
  _xlpm.txt, _xlfn.XLOOKUP(1,(LightSpec[Location]=Table2[[#This Row],[lookup Room]]) * (LightSpec[DiagNo]=Table2[[#This Row],[lookup Device]]),LightSpec[From]),
  _xlpm.n, LEN(_xlpm.txt),
  _xlpm.pos, MATCH(FALSE, ISNUMBER(MID(_xlpm.txt, ROW(INDIRECT("2:" &amp; _xlpm.n)), 1)*1), 0),
  LEFT(_xlpm.txt, _xlpm.pos)
)</f>
        <v>D19</v>
      </c>
      <c r="G132">
        <f>_xlfn.XLOOKUP(Table2[[#This Row],[Trigger]],SwitchButtons[switch],SwitchButtons[input])+Table2[[#This Row],[start]]</f>
        <v>3</v>
      </c>
      <c r="H132" t="s">
        <v>569</v>
      </c>
      <c r="I132" t="str">
        <f>_xlfn.XLOOKUP(Table2[[#This Row],[set1]],circuitoutputs[circuit],circuitoutputs[device])</f>
        <v>D19</v>
      </c>
      <c r="J132">
        <f>_xlfn.XLOOKUP(Table2[[#This Row],[set1]],circuitoutputs[circuit],circuitoutputs[output])</f>
        <v>1</v>
      </c>
      <c r="K132" t="s">
        <v>495</v>
      </c>
    </row>
    <row r="133" spans="1:11" hidden="1" x14ac:dyDescent="0.25">
      <c r="A133" t="s">
        <v>131</v>
      </c>
      <c r="B133" t="s">
        <v>192</v>
      </c>
      <c r="C133" cm="1">
        <f t="array" ref="C133">_xlfn.XLOOKUP(1,(LightSpec[Location]=Table2[[#This Row],[lookup Room]]) * (LightSpec[DiagNo]=Table2[[#This Row],[lookup Device]]), LightSpec[startinput])</f>
        <v>0</v>
      </c>
      <c r="D133" t="s">
        <v>448</v>
      </c>
      <c r="E133" t="s">
        <v>500</v>
      </c>
      <c r="F133" t="str" cm="1">
        <f t="array" aca="1" ref="F133" ca="1">_xlfn.LET(
  _xlpm.txt, _xlfn.XLOOKUP(1,(LightSpec[Location]=Table2[[#This Row],[lookup Room]]) * (LightSpec[DiagNo]=Table2[[#This Row],[lookup Device]]),LightSpec[From]),
  _xlpm.n, LEN(_xlpm.txt),
  _xlpm.pos, MATCH(FALSE, ISNUMBER(MID(_xlpm.txt, ROW(INDIRECT("2:" &amp; _xlpm.n)), 1)*1), 0),
  LEFT(_xlpm.txt, _xlpm.pos)
)</f>
        <v>D19</v>
      </c>
      <c r="G133">
        <f>_xlfn.XLOOKUP(Table2[[#This Row],[Trigger]],SwitchButtons[switch],SwitchButtons[input])+Table2[[#This Row],[start]]</f>
        <v>3</v>
      </c>
      <c r="H133" t="s">
        <v>535</v>
      </c>
      <c r="I133" t="str">
        <f>_xlfn.XLOOKUP(Table2[[#This Row],[set1]],circuitoutputs[circuit],circuitoutputs[device])</f>
        <v>D20</v>
      </c>
      <c r="J133">
        <f>_xlfn.XLOOKUP(Table2[[#This Row],[set1]],circuitoutputs[circuit],circuitoutputs[output])</f>
        <v>0</v>
      </c>
      <c r="K133" t="s">
        <v>495</v>
      </c>
    </row>
    <row r="134" spans="1:11" hidden="1" x14ac:dyDescent="0.25">
      <c r="A134" t="s">
        <v>131</v>
      </c>
      <c r="B134" t="s">
        <v>192</v>
      </c>
      <c r="C134" cm="1">
        <f t="array" ref="C134">_xlfn.XLOOKUP(1,(LightSpec[Location]=Table2[[#This Row],[lookup Room]]) * (LightSpec[DiagNo]=Table2[[#This Row],[lookup Device]]), LightSpec[startinput])</f>
        <v>0</v>
      </c>
      <c r="D134" t="s">
        <v>448</v>
      </c>
      <c r="E134" t="s">
        <v>500</v>
      </c>
      <c r="F134" t="str" cm="1">
        <f t="array" aca="1" ref="F134" ca="1">_xlfn.LET(
  _xlpm.txt, _xlfn.XLOOKUP(1,(LightSpec[Location]=Table2[[#This Row],[lookup Room]]) * (LightSpec[DiagNo]=Table2[[#This Row],[lookup Device]]),LightSpec[From]),
  _xlpm.n, LEN(_xlpm.txt),
  _xlpm.pos, MATCH(FALSE, ISNUMBER(MID(_xlpm.txt, ROW(INDIRECT("2:" &amp; _xlpm.n)), 1)*1), 0),
  LEFT(_xlpm.txt, _xlpm.pos)
)</f>
        <v>D19</v>
      </c>
      <c r="G134">
        <f>_xlfn.XLOOKUP(Table2[[#This Row],[Trigger]],SwitchButtons[switch],SwitchButtons[input])+Table2[[#This Row],[start]]</f>
        <v>3</v>
      </c>
      <c r="H134" t="s">
        <v>570</v>
      </c>
      <c r="I134" t="str">
        <f>_xlfn.XLOOKUP(Table2[[#This Row],[set1]],circuitoutputs[circuit],circuitoutputs[device])</f>
        <v>D20</v>
      </c>
      <c r="J134">
        <f>_xlfn.XLOOKUP(Table2[[#This Row],[set1]],circuitoutputs[circuit],circuitoutputs[output])</f>
        <v>1</v>
      </c>
      <c r="K134" t="s">
        <v>495</v>
      </c>
    </row>
    <row r="135" spans="1:11" hidden="1" x14ac:dyDescent="0.25">
      <c r="A135" t="s">
        <v>131</v>
      </c>
      <c r="B135" t="s">
        <v>192</v>
      </c>
      <c r="C135" cm="1">
        <f t="array" ref="C135">_xlfn.XLOOKUP(1,(LightSpec[Location]=Table2[[#This Row],[lookup Room]]) * (LightSpec[DiagNo]=Table2[[#This Row],[lookup Device]]), LightSpec[startinput])</f>
        <v>0</v>
      </c>
      <c r="D135" t="s">
        <v>448</v>
      </c>
      <c r="E135" t="s">
        <v>501</v>
      </c>
      <c r="F135" t="str" cm="1">
        <f t="array" aca="1" ref="F135" ca="1">_xlfn.LET(
  _xlpm.txt, _xlfn.XLOOKUP(1,(LightSpec[Location]=Table2[[#This Row],[lookup Room]]) * (LightSpec[DiagNo]=Table2[[#This Row],[lookup Device]]),LightSpec[From]),
  _xlpm.n, LEN(_xlpm.txt),
  _xlpm.pos, MATCH(FALSE, ISNUMBER(MID(_xlpm.txt, ROW(INDIRECT("2:" &amp; _xlpm.n)), 1)*1), 0),
  LEFT(_xlpm.txt, _xlpm.pos)
)</f>
        <v>D19</v>
      </c>
      <c r="G135">
        <f>_xlfn.XLOOKUP(Table2[[#This Row],[Trigger]],SwitchButtons[switch],SwitchButtons[input])+Table2[[#This Row],[start]]</f>
        <v>3</v>
      </c>
      <c r="H135" t="s">
        <v>536</v>
      </c>
      <c r="I135" t="str">
        <f>_xlfn.XLOOKUP(Table2[[#This Row],[set1]],circuitoutputs[circuit],circuitoutputs[device])</f>
        <v>D21</v>
      </c>
      <c r="J135">
        <f>_xlfn.XLOOKUP(Table2[[#This Row],[set1]],circuitoutputs[circuit],circuitoutputs[output])</f>
        <v>0</v>
      </c>
      <c r="K135" t="s">
        <v>495</v>
      </c>
    </row>
    <row r="136" spans="1:11" x14ac:dyDescent="0.25">
      <c r="A136" t="s">
        <v>131</v>
      </c>
      <c r="B136" t="s">
        <v>251</v>
      </c>
      <c r="C136" cm="1">
        <f t="array" ref="C136">_xlfn.XLOOKUP(1,(LightSpec[Location]=Table2[[#This Row],[lookup Room]]) * (LightSpec[DiagNo]=Table2[[#This Row],[lookup Device]]), LightSpec[startinput])</f>
        <v>0</v>
      </c>
      <c r="D136" t="s">
        <v>505</v>
      </c>
      <c r="E136" t="s">
        <v>588</v>
      </c>
      <c r="F136" t="str" cm="1">
        <f t="array" aca="1" ref="F136" ca="1">_xlfn.LET(
  _xlpm.txt, _xlfn.XLOOKUP(1,(LightSpec[Location]=Table2[[#This Row],[lookup Room]]) * (LightSpec[DiagNo]=Table2[[#This Row],[lookup Device]]),LightSpec[From]),
  _xlpm.n, LEN(_xlpm.txt),
  _xlpm.pos, MATCH(FALSE, ISNUMBER(MID(_xlpm.txt, ROW(INDIRECT("2:" &amp; _xlpm.n)), 1)*1), 0),
  LEFT(_xlpm.txt, _xlpm.pos)
)</f>
        <v>P3</v>
      </c>
      <c r="G136">
        <f>_xlfn.XLOOKUP(Table2[[#This Row],[Trigger]],SwitchButtons[switch],SwitchButtons[input])+Table2[[#This Row],[start]]</f>
        <v>0</v>
      </c>
      <c r="H136" t="s">
        <v>577</v>
      </c>
      <c r="I136" t="str">
        <f>_xlfn.XLOOKUP(Table2[[#This Row],[set1]],circuitoutputs[circuit],circuitoutputs[device])</f>
        <v>P1</v>
      </c>
      <c r="J136">
        <f>_xlfn.XLOOKUP(Table2[[#This Row],[set1]],circuitoutputs[circuit],circuitoutputs[output])</f>
        <v>2</v>
      </c>
      <c r="K136" t="s">
        <v>594</v>
      </c>
    </row>
    <row r="137" spans="1:11" x14ac:dyDescent="0.25">
      <c r="A137" t="s">
        <v>131</v>
      </c>
      <c r="B137" t="s">
        <v>251</v>
      </c>
      <c r="C137" cm="1">
        <f t="array" ref="C137">_xlfn.XLOOKUP(1,(LightSpec[Location]=Table2[[#This Row],[lookup Room]]) * (LightSpec[DiagNo]=Table2[[#This Row],[lookup Device]]), LightSpec[startinput])</f>
        <v>0</v>
      </c>
      <c r="D137" t="s">
        <v>505</v>
      </c>
      <c r="E137" t="s">
        <v>589</v>
      </c>
      <c r="F137" t="str" cm="1">
        <f t="array" aca="1" ref="F137" ca="1">_xlfn.LET(
  _xlpm.txt, _xlfn.XLOOKUP(1,(LightSpec[Location]=Table2[[#This Row],[lookup Room]]) * (LightSpec[DiagNo]=Table2[[#This Row],[lookup Device]]),LightSpec[From]),
  _xlpm.n, LEN(_xlpm.txt),
  _xlpm.pos, MATCH(FALSE, ISNUMBER(MID(_xlpm.txt, ROW(INDIRECT("2:" &amp; _xlpm.n)), 1)*1), 0),
  LEFT(_xlpm.txt, _xlpm.pos)
)</f>
        <v>P3</v>
      </c>
      <c r="G137">
        <f>_xlfn.XLOOKUP(Table2[[#This Row],[Trigger]],SwitchButtons[switch],SwitchButtons[input])+Table2[[#This Row],[start]]</f>
        <v>0</v>
      </c>
      <c r="H137" t="s">
        <v>577</v>
      </c>
      <c r="I137" t="str">
        <f>_xlfn.XLOOKUP(Table2[[#This Row],[set1]],circuitoutputs[circuit],circuitoutputs[device])</f>
        <v>P1</v>
      </c>
      <c r="J137">
        <f>_xlfn.XLOOKUP(Table2[[#This Row],[set1]],circuitoutputs[circuit],circuitoutputs[output])</f>
        <v>2</v>
      </c>
      <c r="K137" t="s">
        <v>495</v>
      </c>
    </row>
    <row r="138" spans="1:11" hidden="1" x14ac:dyDescent="0.25">
      <c r="A138" t="s">
        <v>132</v>
      </c>
      <c r="B138" t="s">
        <v>192</v>
      </c>
      <c r="C138" cm="1">
        <f t="array" ref="C138">_xlfn.XLOOKUP(1,(LightSpec[Location]=Table2[[#This Row],[lookup Room]]) * (LightSpec[DiagNo]=Table2[[#This Row],[lookup Device]]), LightSpec[startinput])</f>
        <v>0</v>
      </c>
      <c r="D138" t="s">
        <v>445</v>
      </c>
      <c r="E138" t="s">
        <v>500</v>
      </c>
      <c r="F138" t="str" cm="1">
        <f t="array" aca="1" ref="F138" ca="1">_xlfn.LET(
  _xlpm.txt, _xlfn.XLOOKUP(1,(LightSpec[Location]=Table2[[#This Row],[lookup Room]]) * (LightSpec[DiagNo]=Table2[[#This Row],[lookup Device]]),LightSpec[From]),
  _xlpm.n, LEN(_xlpm.txt),
  _xlpm.pos, MATCH(FALSE, ISNUMBER(MID(_xlpm.txt, ROW(INDIRECT("2:" &amp; _xlpm.n)), 1)*1), 0),
  LEFT(_xlpm.txt, _xlpm.pos)
)</f>
        <v>D21</v>
      </c>
      <c r="G138">
        <f>_xlfn.XLOOKUP(Table2[[#This Row],[Trigger]],SwitchButtons[switch],SwitchButtons[input])+Table2[[#This Row],[start]]</f>
        <v>0</v>
      </c>
      <c r="H138" t="s">
        <v>571</v>
      </c>
      <c r="I138" t="str">
        <f>_xlfn.XLOOKUP(Table2[[#This Row],[set1]],circuitoutputs[circuit],circuitoutputs[device])</f>
        <v>D21</v>
      </c>
      <c r="J138">
        <f>_xlfn.XLOOKUP(Table2[[#This Row],[set1]],circuitoutputs[circuit],circuitoutputs[output])</f>
        <v>1</v>
      </c>
      <c r="K138" t="s">
        <v>494</v>
      </c>
    </row>
    <row r="139" spans="1:11" hidden="1" x14ac:dyDescent="0.25">
      <c r="A139" t="s">
        <v>132</v>
      </c>
      <c r="B139" t="s">
        <v>192</v>
      </c>
      <c r="C139" cm="1">
        <f t="array" ref="C139">_xlfn.XLOOKUP(1,(LightSpec[Location]=Table2[[#This Row],[lookup Room]]) * (LightSpec[DiagNo]=Table2[[#This Row],[lookup Device]]), LightSpec[startinput])</f>
        <v>0</v>
      </c>
      <c r="D139" t="s">
        <v>445</v>
      </c>
      <c r="E139" t="s">
        <v>503</v>
      </c>
      <c r="F139" t="str" cm="1">
        <f t="array" aca="1" ref="F139" ca="1">_xlfn.LET(
  _xlpm.txt, _xlfn.XLOOKUP(1,(LightSpec[Location]=Table2[[#This Row],[lookup Room]]) * (LightSpec[DiagNo]=Table2[[#This Row],[lookup Device]]),LightSpec[From]),
  _xlpm.n, LEN(_xlpm.txt),
  _xlpm.pos, MATCH(FALSE, ISNUMBER(MID(_xlpm.txt, ROW(INDIRECT("2:" &amp; _xlpm.n)), 1)*1), 0),
  LEFT(_xlpm.txt, _xlpm.pos)
)</f>
        <v>D21</v>
      </c>
      <c r="G139">
        <f>_xlfn.XLOOKUP(Table2[[#This Row],[Trigger]],SwitchButtons[switch],SwitchButtons[input])+Table2[[#This Row],[start]]</f>
        <v>0</v>
      </c>
      <c r="H139" t="s">
        <v>571</v>
      </c>
      <c r="I139" t="str">
        <f>_xlfn.XLOOKUP(Table2[[#This Row],[set1]],circuitoutputs[circuit],circuitoutputs[device])</f>
        <v>D21</v>
      </c>
      <c r="J139">
        <f>_xlfn.XLOOKUP(Table2[[#This Row],[set1]],circuitoutputs[circuit],circuitoutputs[output])</f>
        <v>1</v>
      </c>
      <c r="K139" t="s">
        <v>596</v>
      </c>
    </row>
    <row r="140" spans="1:11" hidden="1" x14ac:dyDescent="0.25">
      <c r="A140" t="s">
        <v>132</v>
      </c>
      <c r="B140" t="s">
        <v>192</v>
      </c>
      <c r="C140" cm="1">
        <f t="array" ref="C140">_xlfn.XLOOKUP(1,(LightSpec[Location]=Table2[[#This Row],[lookup Room]]) * (LightSpec[DiagNo]=Table2[[#This Row],[lookup Device]]), LightSpec[startinput])</f>
        <v>0</v>
      </c>
      <c r="D140" t="s">
        <v>446</v>
      </c>
      <c r="E140" t="s">
        <v>500</v>
      </c>
      <c r="F140" t="str" cm="1">
        <f t="array" aca="1" ref="F140" ca="1">_xlfn.LET(
  _xlpm.txt, _xlfn.XLOOKUP(1,(LightSpec[Location]=Table2[[#This Row],[lookup Room]]) * (LightSpec[DiagNo]=Table2[[#This Row],[lookup Device]]),LightSpec[From]),
  _xlpm.n, LEN(_xlpm.txt),
  _xlpm.pos, MATCH(FALSE, ISNUMBER(MID(_xlpm.txt, ROW(INDIRECT("2:" &amp; _xlpm.n)), 1)*1), 0),
  LEFT(_xlpm.txt, _xlpm.pos)
)</f>
        <v>D21</v>
      </c>
      <c r="G140">
        <f>_xlfn.XLOOKUP(Table2[[#This Row],[Trigger]],SwitchButtons[switch],SwitchButtons[input])+Table2[[#This Row],[start]]</f>
        <v>1</v>
      </c>
      <c r="H140" t="s">
        <v>571</v>
      </c>
      <c r="I140" t="str">
        <f>_xlfn.XLOOKUP(Table2[[#This Row],[set1]],circuitoutputs[circuit],circuitoutputs[device])</f>
        <v>D21</v>
      </c>
      <c r="J140">
        <f>_xlfn.XLOOKUP(Table2[[#This Row],[set1]],circuitoutputs[circuit],circuitoutputs[output])</f>
        <v>1</v>
      </c>
      <c r="K140" t="s">
        <v>495</v>
      </c>
    </row>
    <row r="141" spans="1:11" hidden="1" x14ac:dyDescent="0.25">
      <c r="A141" t="s">
        <v>132</v>
      </c>
      <c r="B141" t="s">
        <v>193</v>
      </c>
      <c r="C141" cm="1">
        <f t="array" ref="C141">_xlfn.XLOOKUP(1,(LightSpec[Location]=Table2[[#This Row],[lookup Room]]) * (LightSpec[DiagNo]=Table2[[#This Row],[lookup Device]]), LightSpec[startinput])</f>
        <v>2</v>
      </c>
      <c r="D141" t="s">
        <v>445</v>
      </c>
      <c r="E141" t="s">
        <v>500</v>
      </c>
      <c r="F141" t="str" cm="1">
        <f t="array" aca="1" ref="F141" ca="1">_xlfn.LET(
  _xlpm.txt, _xlfn.XLOOKUP(1,(LightSpec[Location]=Table2[[#This Row],[lookup Room]]) * (LightSpec[DiagNo]=Table2[[#This Row],[lookup Device]]),LightSpec[From]),
  _xlpm.n, LEN(_xlpm.txt),
  _xlpm.pos, MATCH(FALSE, ISNUMBER(MID(_xlpm.txt, ROW(INDIRECT("2:" &amp; _xlpm.n)), 1)*1), 0),
  LEFT(_xlpm.txt, _xlpm.pos)
)</f>
        <v>D21</v>
      </c>
      <c r="G141">
        <f>_xlfn.XLOOKUP(Table2[[#This Row],[Trigger]],SwitchButtons[switch],SwitchButtons[input])+Table2[[#This Row],[start]]</f>
        <v>2</v>
      </c>
      <c r="H141" t="s">
        <v>572</v>
      </c>
      <c r="I141" t="str">
        <f>_xlfn.XLOOKUP(Table2[[#This Row],[set1]],circuitoutputs[circuit],circuitoutputs[device])</f>
        <v>D22</v>
      </c>
      <c r="J141">
        <f>_xlfn.XLOOKUP(Table2[[#This Row],[set1]],circuitoutputs[circuit],circuitoutputs[output])</f>
        <v>1</v>
      </c>
      <c r="K141" t="s">
        <v>494</v>
      </c>
    </row>
    <row r="142" spans="1:11" hidden="1" x14ac:dyDescent="0.25">
      <c r="A142" t="s">
        <v>132</v>
      </c>
      <c r="B142" t="s">
        <v>193</v>
      </c>
      <c r="C142" cm="1">
        <f t="array" ref="C142">_xlfn.XLOOKUP(1,(LightSpec[Location]=Table2[[#This Row],[lookup Room]]) * (LightSpec[DiagNo]=Table2[[#This Row],[lookup Device]]), LightSpec[startinput])</f>
        <v>2</v>
      </c>
      <c r="D142" t="s">
        <v>445</v>
      </c>
      <c r="E142" t="s">
        <v>500</v>
      </c>
      <c r="F142" t="str" cm="1">
        <f t="array" aca="1" ref="F142" ca="1">_xlfn.LET(
  _xlpm.txt, _xlfn.XLOOKUP(1,(LightSpec[Location]=Table2[[#This Row],[lookup Room]]) * (LightSpec[DiagNo]=Table2[[#This Row],[lookup Device]]),LightSpec[From]),
  _xlpm.n, LEN(_xlpm.txt),
  _xlpm.pos, MATCH(FALSE, ISNUMBER(MID(_xlpm.txt, ROW(INDIRECT("2:" &amp; _xlpm.n)), 1)*1), 0),
  LEFT(_xlpm.txt, _xlpm.pos)
)</f>
        <v>D21</v>
      </c>
      <c r="G142">
        <f>_xlfn.XLOOKUP(Table2[[#This Row],[Trigger]],SwitchButtons[switch],SwitchButtons[input])+Table2[[#This Row],[start]]</f>
        <v>2</v>
      </c>
      <c r="H142" t="s">
        <v>538</v>
      </c>
      <c r="I142" t="str">
        <f>_xlfn.XLOOKUP(Table2[[#This Row],[set1]],circuitoutputs[circuit],circuitoutputs[device])</f>
        <v>D23</v>
      </c>
      <c r="J142">
        <f>_xlfn.XLOOKUP(Table2[[#This Row],[set1]],circuitoutputs[circuit],circuitoutputs[output])</f>
        <v>0</v>
      </c>
      <c r="K142" t="s">
        <v>494</v>
      </c>
    </row>
    <row r="143" spans="1:11" hidden="1" x14ac:dyDescent="0.25">
      <c r="A143" t="s">
        <v>132</v>
      </c>
      <c r="B143" t="s">
        <v>193</v>
      </c>
      <c r="C143" cm="1">
        <f t="array" ref="C143">_xlfn.XLOOKUP(1,(LightSpec[Location]=Table2[[#This Row],[lookup Room]]) * (LightSpec[DiagNo]=Table2[[#This Row],[lookup Device]]), LightSpec[startinput])</f>
        <v>2</v>
      </c>
      <c r="D143" t="s">
        <v>445</v>
      </c>
      <c r="E143" t="s">
        <v>500</v>
      </c>
      <c r="F143" t="str" cm="1">
        <f t="array" aca="1" ref="F143" ca="1">_xlfn.LET(
  _xlpm.txt, _xlfn.XLOOKUP(1,(LightSpec[Location]=Table2[[#This Row],[lookup Room]]) * (LightSpec[DiagNo]=Table2[[#This Row],[lookup Device]]),LightSpec[From]),
  _xlpm.n, LEN(_xlpm.txt),
  _xlpm.pos, MATCH(FALSE, ISNUMBER(MID(_xlpm.txt, ROW(INDIRECT("2:" &amp; _xlpm.n)), 1)*1), 0),
  LEFT(_xlpm.txt, _xlpm.pos)
)</f>
        <v>D21</v>
      </c>
      <c r="G143">
        <f>_xlfn.XLOOKUP(Table2[[#This Row],[Trigger]],SwitchButtons[switch],SwitchButtons[input])+Table2[[#This Row],[start]]</f>
        <v>2</v>
      </c>
      <c r="H143" t="s">
        <v>573</v>
      </c>
      <c r="I143" t="str">
        <f>_xlfn.XLOOKUP(Table2[[#This Row],[set1]],circuitoutputs[circuit],circuitoutputs[device])</f>
        <v>D23</v>
      </c>
      <c r="J143">
        <f>_xlfn.XLOOKUP(Table2[[#This Row],[set1]],circuitoutputs[circuit],circuitoutputs[output])</f>
        <v>1</v>
      </c>
      <c r="K143" t="s">
        <v>494</v>
      </c>
    </row>
    <row r="144" spans="1:11" hidden="1" x14ac:dyDescent="0.25">
      <c r="A144" t="s">
        <v>132</v>
      </c>
      <c r="B144" t="s">
        <v>193</v>
      </c>
      <c r="C144" cm="1">
        <f t="array" ref="C144">_xlfn.XLOOKUP(1,(LightSpec[Location]=Table2[[#This Row],[lookup Room]]) * (LightSpec[DiagNo]=Table2[[#This Row],[lookup Device]]), LightSpec[startinput])</f>
        <v>2</v>
      </c>
      <c r="D144" t="s">
        <v>445</v>
      </c>
      <c r="E144" t="s">
        <v>500</v>
      </c>
      <c r="F144" t="str" cm="1">
        <f t="array" aca="1" ref="F144" ca="1">_xlfn.LET(
  _xlpm.txt, _xlfn.XLOOKUP(1,(LightSpec[Location]=Table2[[#This Row],[lookup Room]]) * (LightSpec[DiagNo]=Table2[[#This Row],[lookup Device]]),LightSpec[From]),
  _xlpm.n, LEN(_xlpm.txt),
  _xlpm.pos, MATCH(FALSE, ISNUMBER(MID(_xlpm.txt, ROW(INDIRECT("2:" &amp; _xlpm.n)), 1)*1), 0),
  LEFT(_xlpm.txt, _xlpm.pos)
)</f>
        <v>D21</v>
      </c>
      <c r="G144">
        <f>_xlfn.XLOOKUP(Table2[[#This Row],[Trigger]],SwitchButtons[switch],SwitchButtons[input])+Table2[[#This Row],[start]]</f>
        <v>2</v>
      </c>
      <c r="H144" t="s">
        <v>539</v>
      </c>
      <c r="I144" t="str">
        <f>_xlfn.XLOOKUP(Table2[[#This Row],[set1]],circuitoutputs[circuit],circuitoutputs[device])</f>
        <v>D24</v>
      </c>
      <c r="J144">
        <f>_xlfn.XLOOKUP(Table2[[#This Row],[set1]],circuitoutputs[circuit],circuitoutputs[output])</f>
        <v>0</v>
      </c>
      <c r="K144" t="s">
        <v>494</v>
      </c>
    </row>
    <row r="145" spans="1:11" hidden="1" x14ac:dyDescent="0.25">
      <c r="A145" t="s">
        <v>132</v>
      </c>
      <c r="B145" t="s">
        <v>193</v>
      </c>
      <c r="C145" cm="1">
        <f t="array" ref="C145">_xlfn.XLOOKUP(1,(LightSpec[Location]=Table2[[#This Row],[lookup Room]]) * (LightSpec[DiagNo]=Table2[[#This Row],[lookup Device]]), LightSpec[startinput])</f>
        <v>2</v>
      </c>
      <c r="D145" t="s">
        <v>445</v>
      </c>
      <c r="E145" t="s">
        <v>503</v>
      </c>
      <c r="F145" t="str" cm="1">
        <f t="array" aca="1" ref="F145" ca="1">_xlfn.LET(
  _xlpm.txt, _xlfn.XLOOKUP(1,(LightSpec[Location]=Table2[[#This Row],[lookup Room]]) * (LightSpec[DiagNo]=Table2[[#This Row],[lookup Device]]),LightSpec[From]),
  _xlpm.n, LEN(_xlpm.txt),
  _xlpm.pos, MATCH(FALSE, ISNUMBER(MID(_xlpm.txt, ROW(INDIRECT("2:" &amp; _xlpm.n)), 1)*1), 0),
  LEFT(_xlpm.txt, _xlpm.pos)
)</f>
        <v>D21</v>
      </c>
      <c r="G145">
        <f>_xlfn.XLOOKUP(Table2[[#This Row],[Trigger]],SwitchButtons[switch],SwitchButtons[input])+Table2[[#This Row],[start]]</f>
        <v>2</v>
      </c>
      <c r="H145" t="s">
        <v>572</v>
      </c>
      <c r="I145" t="str">
        <f>_xlfn.XLOOKUP(Table2[[#This Row],[set1]],circuitoutputs[circuit],circuitoutputs[device])</f>
        <v>D22</v>
      </c>
      <c r="J145">
        <f>_xlfn.XLOOKUP(Table2[[#This Row],[set1]],circuitoutputs[circuit],circuitoutputs[output])</f>
        <v>1</v>
      </c>
      <c r="K145" t="s">
        <v>596</v>
      </c>
    </row>
    <row r="146" spans="1:11" hidden="1" x14ac:dyDescent="0.25">
      <c r="A146" t="s">
        <v>132</v>
      </c>
      <c r="B146" t="s">
        <v>193</v>
      </c>
      <c r="C146" cm="1">
        <f t="array" ref="C146">_xlfn.XLOOKUP(1,(LightSpec[Location]=Table2[[#This Row],[lookup Room]]) * (LightSpec[DiagNo]=Table2[[#This Row],[lookup Device]]), LightSpec[startinput])</f>
        <v>2</v>
      </c>
      <c r="D146" t="s">
        <v>445</v>
      </c>
      <c r="E146" t="s">
        <v>503</v>
      </c>
      <c r="F146" t="str" cm="1">
        <f t="array" aca="1" ref="F146" ca="1">_xlfn.LET(
  _xlpm.txt, _xlfn.XLOOKUP(1,(LightSpec[Location]=Table2[[#This Row],[lookup Room]]) * (LightSpec[DiagNo]=Table2[[#This Row],[lookup Device]]),LightSpec[From]),
  _xlpm.n, LEN(_xlpm.txt),
  _xlpm.pos, MATCH(FALSE, ISNUMBER(MID(_xlpm.txt, ROW(INDIRECT("2:" &amp; _xlpm.n)), 1)*1), 0),
  LEFT(_xlpm.txt, _xlpm.pos)
)</f>
        <v>D21</v>
      </c>
      <c r="G146">
        <f>_xlfn.XLOOKUP(Table2[[#This Row],[Trigger]],SwitchButtons[switch],SwitchButtons[input])+Table2[[#This Row],[start]]</f>
        <v>2</v>
      </c>
      <c r="H146" t="s">
        <v>538</v>
      </c>
      <c r="I146" t="str">
        <f>_xlfn.XLOOKUP(Table2[[#This Row],[set1]],circuitoutputs[circuit],circuitoutputs[device])</f>
        <v>D23</v>
      </c>
      <c r="J146">
        <f>_xlfn.XLOOKUP(Table2[[#This Row],[set1]],circuitoutputs[circuit],circuitoutputs[output])</f>
        <v>0</v>
      </c>
      <c r="K146" t="s">
        <v>596</v>
      </c>
    </row>
    <row r="147" spans="1:11" hidden="1" x14ac:dyDescent="0.25">
      <c r="A147" t="s">
        <v>132</v>
      </c>
      <c r="B147" t="s">
        <v>193</v>
      </c>
      <c r="C147" cm="1">
        <f t="array" ref="C147">_xlfn.XLOOKUP(1,(LightSpec[Location]=Table2[[#This Row],[lookup Room]]) * (LightSpec[DiagNo]=Table2[[#This Row],[lookup Device]]), LightSpec[startinput])</f>
        <v>2</v>
      </c>
      <c r="D147" t="s">
        <v>445</v>
      </c>
      <c r="E147" t="s">
        <v>503</v>
      </c>
      <c r="F147" t="str" cm="1">
        <f t="array" aca="1" ref="F147" ca="1">_xlfn.LET(
  _xlpm.txt, _xlfn.XLOOKUP(1,(LightSpec[Location]=Table2[[#This Row],[lookup Room]]) * (LightSpec[DiagNo]=Table2[[#This Row],[lookup Device]]),LightSpec[From]),
  _xlpm.n, LEN(_xlpm.txt),
  _xlpm.pos, MATCH(FALSE, ISNUMBER(MID(_xlpm.txt, ROW(INDIRECT("2:" &amp; _xlpm.n)), 1)*1), 0),
  LEFT(_xlpm.txt, _xlpm.pos)
)</f>
        <v>D21</v>
      </c>
      <c r="G147">
        <f>_xlfn.XLOOKUP(Table2[[#This Row],[Trigger]],SwitchButtons[switch],SwitchButtons[input])+Table2[[#This Row],[start]]</f>
        <v>2</v>
      </c>
      <c r="H147" t="s">
        <v>573</v>
      </c>
      <c r="I147" t="str">
        <f>_xlfn.XLOOKUP(Table2[[#This Row],[set1]],circuitoutputs[circuit],circuitoutputs[device])</f>
        <v>D23</v>
      </c>
      <c r="J147">
        <f>_xlfn.XLOOKUP(Table2[[#This Row],[set1]],circuitoutputs[circuit],circuitoutputs[output])</f>
        <v>1</v>
      </c>
      <c r="K147" t="s">
        <v>596</v>
      </c>
    </row>
    <row r="148" spans="1:11" hidden="1" x14ac:dyDescent="0.25">
      <c r="A148" t="s">
        <v>132</v>
      </c>
      <c r="B148" t="s">
        <v>193</v>
      </c>
      <c r="C148" cm="1">
        <f t="array" ref="C148">_xlfn.XLOOKUP(1,(LightSpec[Location]=Table2[[#This Row],[lookup Room]]) * (LightSpec[DiagNo]=Table2[[#This Row],[lookup Device]]), LightSpec[startinput])</f>
        <v>2</v>
      </c>
      <c r="D148" t="s">
        <v>446</v>
      </c>
      <c r="E148" t="s">
        <v>500</v>
      </c>
      <c r="F148" t="str" cm="1">
        <f t="array" aca="1" ref="F148" ca="1">_xlfn.LET(
  _xlpm.txt, _xlfn.XLOOKUP(1,(LightSpec[Location]=Table2[[#This Row],[lookup Room]]) * (LightSpec[DiagNo]=Table2[[#This Row],[lookup Device]]),LightSpec[From]),
  _xlpm.n, LEN(_xlpm.txt),
  _xlpm.pos, MATCH(FALSE, ISNUMBER(MID(_xlpm.txt, ROW(INDIRECT("2:" &amp; _xlpm.n)), 1)*1), 0),
  LEFT(_xlpm.txt, _xlpm.pos)
)</f>
        <v>D21</v>
      </c>
      <c r="G148">
        <f>_xlfn.XLOOKUP(Table2[[#This Row],[Trigger]],SwitchButtons[switch],SwitchButtons[input])+Table2[[#This Row],[start]]</f>
        <v>3</v>
      </c>
      <c r="H148" t="s">
        <v>572</v>
      </c>
      <c r="I148" t="str">
        <f>_xlfn.XLOOKUP(Table2[[#This Row],[set1]],circuitoutputs[circuit],circuitoutputs[device])</f>
        <v>D22</v>
      </c>
      <c r="J148">
        <f>_xlfn.XLOOKUP(Table2[[#This Row],[set1]],circuitoutputs[circuit],circuitoutputs[output])</f>
        <v>1</v>
      </c>
      <c r="K148" t="s">
        <v>495</v>
      </c>
    </row>
    <row r="149" spans="1:11" hidden="1" x14ac:dyDescent="0.25">
      <c r="A149" t="s">
        <v>132</v>
      </c>
      <c r="B149" t="s">
        <v>193</v>
      </c>
      <c r="C149" cm="1">
        <f t="array" ref="C149">_xlfn.XLOOKUP(1,(LightSpec[Location]=Table2[[#This Row],[lookup Room]]) * (LightSpec[DiagNo]=Table2[[#This Row],[lookup Device]]), LightSpec[startinput])</f>
        <v>2</v>
      </c>
      <c r="D149" t="s">
        <v>446</v>
      </c>
      <c r="E149" t="s">
        <v>500</v>
      </c>
      <c r="F149" t="str" cm="1">
        <f t="array" aca="1" ref="F149" ca="1">_xlfn.LET(
  _xlpm.txt, _xlfn.XLOOKUP(1,(LightSpec[Location]=Table2[[#This Row],[lookup Room]]) * (LightSpec[DiagNo]=Table2[[#This Row],[lookup Device]]),LightSpec[From]),
  _xlpm.n, LEN(_xlpm.txt),
  _xlpm.pos, MATCH(FALSE, ISNUMBER(MID(_xlpm.txt, ROW(INDIRECT("2:" &amp; _xlpm.n)), 1)*1), 0),
  LEFT(_xlpm.txt, _xlpm.pos)
)</f>
        <v>D21</v>
      </c>
      <c r="G149">
        <f>_xlfn.XLOOKUP(Table2[[#This Row],[Trigger]],SwitchButtons[switch],SwitchButtons[input])+Table2[[#This Row],[start]]</f>
        <v>3</v>
      </c>
      <c r="H149" t="s">
        <v>538</v>
      </c>
      <c r="I149" t="str">
        <f>_xlfn.XLOOKUP(Table2[[#This Row],[set1]],circuitoutputs[circuit],circuitoutputs[device])</f>
        <v>D23</v>
      </c>
      <c r="J149">
        <f>_xlfn.XLOOKUP(Table2[[#This Row],[set1]],circuitoutputs[circuit],circuitoutputs[output])</f>
        <v>0</v>
      </c>
      <c r="K149" t="s">
        <v>495</v>
      </c>
    </row>
    <row r="150" spans="1:11" hidden="1" x14ac:dyDescent="0.25">
      <c r="A150" t="s">
        <v>132</v>
      </c>
      <c r="B150" t="s">
        <v>193</v>
      </c>
      <c r="C150" cm="1">
        <f t="array" ref="C150">_xlfn.XLOOKUP(1,(LightSpec[Location]=Table2[[#This Row],[lookup Room]]) * (LightSpec[DiagNo]=Table2[[#This Row],[lookup Device]]), LightSpec[startinput])</f>
        <v>2</v>
      </c>
      <c r="D150" t="s">
        <v>446</v>
      </c>
      <c r="E150" t="s">
        <v>500</v>
      </c>
      <c r="F150" t="str" cm="1">
        <f t="array" aca="1" ref="F150" ca="1">_xlfn.LET(
  _xlpm.txt, _xlfn.XLOOKUP(1,(LightSpec[Location]=Table2[[#This Row],[lookup Room]]) * (LightSpec[DiagNo]=Table2[[#This Row],[lookup Device]]),LightSpec[From]),
  _xlpm.n, LEN(_xlpm.txt),
  _xlpm.pos, MATCH(FALSE, ISNUMBER(MID(_xlpm.txt, ROW(INDIRECT("2:" &amp; _xlpm.n)), 1)*1), 0),
  LEFT(_xlpm.txt, _xlpm.pos)
)</f>
        <v>D21</v>
      </c>
      <c r="G150">
        <f>_xlfn.XLOOKUP(Table2[[#This Row],[Trigger]],SwitchButtons[switch],SwitchButtons[input])+Table2[[#This Row],[start]]</f>
        <v>3</v>
      </c>
      <c r="H150" t="s">
        <v>573</v>
      </c>
      <c r="I150" t="str">
        <f>_xlfn.XLOOKUP(Table2[[#This Row],[set1]],circuitoutputs[circuit],circuitoutputs[device])</f>
        <v>D23</v>
      </c>
      <c r="J150">
        <f>_xlfn.XLOOKUP(Table2[[#This Row],[set1]],circuitoutputs[circuit],circuitoutputs[output])</f>
        <v>1</v>
      </c>
      <c r="K150" t="s">
        <v>495</v>
      </c>
    </row>
    <row r="151" spans="1:11" hidden="1" x14ac:dyDescent="0.25">
      <c r="A151" t="s">
        <v>133</v>
      </c>
      <c r="B151" t="s">
        <v>251</v>
      </c>
      <c r="C151" cm="1">
        <f t="array" ref="C151">_xlfn.XLOOKUP(1,(LightSpec[Location]=Table2[[#This Row],[lookup Room]]) * (LightSpec[DiagNo]=Table2[[#This Row],[lookup Device]]), LightSpec[startinput])</f>
        <v>0</v>
      </c>
      <c r="D151" t="s">
        <v>506</v>
      </c>
      <c r="E151" t="s">
        <v>588</v>
      </c>
      <c r="F151" t="str" cm="1">
        <f t="array" aca="1" ref="F151" ca="1">_xlfn.LET(
  _xlpm.txt, _xlfn.XLOOKUP(1,(LightSpec[Location]=Table2[[#This Row],[lookup Room]]) * (LightSpec[DiagNo]=Table2[[#This Row],[lookup Device]]),LightSpec[From]),
  _xlpm.n, LEN(_xlpm.txt),
  _xlpm.pos, MATCH(FALSE, ISNUMBER(MID(_xlpm.txt, ROW(INDIRECT("2:" &amp; _xlpm.n)), 1)*1), 0),
  LEFT(_xlpm.txt, _xlpm.pos)
)</f>
        <v>P2</v>
      </c>
      <c r="G151">
        <f>_xlfn.XLOOKUP(Table2[[#This Row],[Trigger]],SwitchButtons[switch],SwitchButtons[input])+Table2[[#This Row],[start]]</f>
        <v>1</v>
      </c>
      <c r="H151" t="s">
        <v>538</v>
      </c>
      <c r="I151" t="str">
        <f>_xlfn.XLOOKUP(Table2[[#This Row],[set1]],circuitoutputs[circuit],circuitoutputs[device])</f>
        <v>D23</v>
      </c>
      <c r="J151">
        <f>_xlfn.XLOOKUP(Table2[[#This Row],[set1]],circuitoutputs[circuit],circuitoutputs[output])</f>
        <v>0</v>
      </c>
      <c r="K151" t="s">
        <v>594</v>
      </c>
    </row>
    <row r="152" spans="1:11" hidden="1" x14ac:dyDescent="0.25">
      <c r="A152" t="s">
        <v>133</v>
      </c>
      <c r="B152" t="s">
        <v>251</v>
      </c>
      <c r="C152" cm="1">
        <f t="array" ref="C152">_xlfn.XLOOKUP(1,(LightSpec[Location]=Table2[[#This Row],[lookup Room]]) * (LightSpec[DiagNo]=Table2[[#This Row],[lookup Device]]), LightSpec[startinput])</f>
        <v>0</v>
      </c>
      <c r="D152" t="s">
        <v>506</v>
      </c>
      <c r="E152" t="s">
        <v>588</v>
      </c>
      <c r="F152" t="str" cm="1">
        <f t="array" aca="1" ref="F152" ca="1">_xlfn.LET(
  _xlpm.txt, _xlfn.XLOOKUP(1,(LightSpec[Location]=Table2[[#This Row],[lookup Room]]) * (LightSpec[DiagNo]=Table2[[#This Row],[lookup Device]]),LightSpec[From]),
  _xlpm.n, LEN(_xlpm.txt),
  _xlpm.pos, MATCH(FALSE, ISNUMBER(MID(_xlpm.txt, ROW(INDIRECT("2:" &amp; _xlpm.n)), 1)*1), 0),
  LEFT(_xlpm.txt, _xlpm.pos)
)</f>
        <v>P2</v>
      </c>
      <c r="G152">
        <f>_xlfn.XLOOKUP(Table2[[#This Row],[Trigger]],SwitchButtons[switch],SwitchButtons[input])+Table2[[#This Row],[start]]</f>
        <v>1</v>
      </c>
      <c r="H152" t="s">
        <v>573</v>
      </c>
      <c r="I152" t="str">
        <f>_xlfn.XLOOKUP(Table2[[#This Row],[set1]],circuitoutputs[circuit],circuitoutputs[device])</f>
        <v>D23</v>
      </c>
      <c r="J152">
        <f>_xlfn.XLOOKUP(Table2[[#This Row],[set1]],circuitoutputs[circuit],circuitoutputs[output])</f>
        <v>1</v>
      </c>
      <c r="K152" t="s">
        <v>594</v>
      </c>
    </row>
    <row r="153" spans="1:11" hidden="1" x14ac:dyDescent="0.25">
      <c r="A153" t="s">
        <v>133</v>
      </c>
      <c r="B153" t="s">
        <v>251</v>
      </c>
      <c r="C153" cm="1">
        <f t="array" ref="C153">_xlfn.XLOOKUP(1,(LightSpec[Location]=Table2[[#This Row],[lookup Room]]) * (LightSpec[DiagNo]=Table2[[#This Row],[lookup Device]]), LightSpec[startinput])</f>
        <v>0</v>
      </c>
      <c r="D153" t="s">
        <v>506</v>
      </c>
      <c r="E153" t="s">
        <v>589</v>
      </c>
      <c r="F153" t="str" cm="1">
        <f t="array" aca="1" ref="F153" ca="1">_xlfn.LET(
  _xlpm.txt, _xlfn.XLOOKUP(1,(LightSpec[Location]=Table2[[#This Row],[lookup Room]]) * (LightSpec[DiagNo]=Table2[[#This Row],[lookup Device]]),LightSpec[From]),
  _xlpm.n, LEN(_xlpm.txt),
  _xlpm.pos, MATCH(FALSE, ISNUMBER(MID(_xlpm.txt, ROW(INDIRECT("2:" &amp; _xlpm.n)), 1)*1), 0),
  LEFT(_xlpm.txt, _xlpm.pos)
)</f>
        <v>P2</v>
      </c>
      <c r="G153">
        <f>_xlfn.XLOOKUP(Table2[[#This Row],[Trigger]],SwitchButtons[switch],SwitchButtons[input])+Table2[[#This Row],[start]]</f>
        <v>1</v>
      </c>
      <c r="H153" t="s">
        <v>538</v>
      </c>
      <c r="I153" t="str">
        <f>_xlfn.XLOOKUP(Table2[[#This Row],[set1]],circuitoutputs[circuit],circuitoutputs[device])</f>
        <v>D23</v>
      </c>
      <c r="J153">
        <f>_xlfn.XLOOKUP(Table2[[#This Row],[set1]],circuitoutputs[circuit],circuitoutputs[output])</f>
        <v>0</v>
      </c>
      <c r="K153" t="s">
        <v>495</v>
      </c>
    </row>
    <row r="154" spans="1:11" hidden="1" x14ac:dyDescent="0.25">
      <c r="A154" t="s">
        <v>133</v>
      </c>
      <c r="B154" t="s">
        <v>251</v>
      </c>
      <c r="C154" cm="1">
        <f t="array" ref="C154">_xlfn.XLOOKUP(1,(LightSpec[Location]=Table2[[#This Row],[lookup Room]]) * (LightSpec[DiagNo]=Table2[[#This Row],[lookup Device]]), LightSpec[startinput])</f>
        <v>0</v>
      </c>
      <c r="D154" t="s">
        <v>506</v>
      </c>
      <c r="E154" t="s">
        <v>589</v>
      </c>
      <c r="F154" t="str" cm="1">
        <f t="array" aca="1" ref="F154" ca="1">_xlfn.LET(
  _xlpm.txt, _xlfn.XLOOKUP(1,(LightSpec[Location]=Table2[[#This Row],[lookup Room]]) * (LightSpec[DiagNo]=Table2[[#This Row],[lookup Device]]),LightSpec[From]),
  _xlpm.n, LEN(_xlpm.txt),
  _xlpm.pos, MATCH(FALSE, ISNUMBER(MID(_xlpm.txt, ROW(INDIRECT("2:" &amp; _xlpm.n)), 1)*1), 0),
  LEFT(_xlpm.txt, _xlpm.pos)
)</f>
        <v>P2</v>
      </c>
      <c r="G154">
        <f>_xlfn.XLOOKUP(Table2[[#This Row],[Trigger]],SwitchButtons[switch],SwitchButtons[input])+Table2[[#This Row],[start]]</f>
        <v>1</v>
      </c>
      <c r="H154" t="s">
        <v>573</v>
      </c>
      <c r="I154" t="str">
        <f>_xlfn.XLOOKUP(Table2[[#This Row],[set1]],circuitoutputs[circuit],circuitoutputs[device])</f>
        <v>D23</v>
      </c>
      <c r="J154">
        <f>_xlfn.XLOOKUP(Table2[[#This Row],[set1]],circuitoutputs[circuit],circuitoutputs[output])</f>
        <v>1</v>
      </c>
      <c r="K154" t="s">
        <v>495</v>
      </c>
    </row>
    <row r="155" spans="1:11" hidden="1" x14ac:dyDescent="0.25">
      <c r="A155" t="s">
        <v>134</v>
      </c>
      <c r="B155" t="s">
        <v>192</v>
      </c>
      <c r="C155" cm="1">
        <f t="array" ref="C155">_xlfn.XLOOKUP(1,(LightSpec[Location]=Table2[[#This Row],[lookup Room]]) * (LightSpec[DiagNo]=Table2[[#This Row],[lookup Device]]), LightSpec[startinput])</f>
        <v>0</v>
      </c>
      <c r="D155" t="s">
        <v>447</v>
      </c>
      <c r="E155" t="s">
        <v>500</v>
      </c>
      <c r="F155" t="str" cm="1">
        <f t="array" aca="1" ref="F155" ca="1">_xlfn.LET(
  _xlpm.txt, _xlfn.XLOOKUP(1,(LightSpec[Location]=Table2[[#This Row],[lookup Room]]) * (LightSpec[DiagNo]=Table2[[#This Row],[lookup Device]]),LightSpec[From]),
  _xlpm.n, LEN(_xlpm.txt),
  _xlpm.pos, MATCH(FALSE, ISNUMBER(MID(_xlpm.txt, ROW(INDIRECT("2:" &amp; _xlpm.n)), 1)*1), 0),
  LEFT(_xlpm.txt, _xlpm.pos)
)</f>
        <v>D25</v>
      </c>
      <c r="G155">
        <f>_xlfn.XLOOKUP(Table2[[#This Row],[Trigger]],SwitchButtons[switch],SwitchButtons[input])+Table2[[#This Row],[start]]</f>
        <v>2</v>
      </c>
      <c r="H155" t="s">
        <v>574</v>
      </c>
      <c r="I155" t="str">
        <f>_xlfn.XLOOKUP(Table2[[#This Row],[set1]],circuitoutputs[circuit],circuitoutputs[device])</f>
        <v>D24</v>
      </c>
      <c r="J155">
        <f>_xlfn.XLOOKUP(Table2[[#This Row],[set1]],circuitoutputs[circuit],circuitoutputs[output])</f>
        <v>1</v>
      </c>
      <c r="K155" t="s">
        <v>494</v>
      </c>
    </row>
    <row r="156" spans="1:11" hidden="1" x14ac:dyDescent="0.25">
      <c r="A156" t="s">
        <v>134</v>
      </c>
      <c r="B156" t="s">
        <v>192</v>
      </c>
      <c r="C156" cm="1">
        <f t="array" ref="C156">_xlfn.XLOOKUP(1,(LightSpec[Location]=Table2[[#This Row],[lookup Room]]) * (LightSpec[DiagNo]=Table2[[#This Row],[lookup Device]]), LightSpec[startinput])</f>
        <v>0</v>
      </c>
      <c r="D156" t="s">
        <v>447</v>
      </c>
      <c r="E156" t="s">
        <v>500</v>
      </c>
      <c r="F156" t="str" cm="1">
        <f t="array" aca="1" ref="F156" ca="1">_xlfn.LET(
  _xlpm.txt, _xlfn.XLOOKUP(1,(LightSpec[Location]=Table2[[#This Row],[lookup Room]]) * (LightSpec[DiagNo]=Table2[[#This Row],[lookup Device]]),LightSpec[From]),
  _xlpm.n, LEN(_xlpm.txt),
  _xlpm.pos, MATCH(FALSE, ISNUMBER(MID(_xlpm.txt, ROW(INDIRECT("2:" &amp; _xlpm.n)), 1)*1), 0),
  LEFT(_xlpm.txt, _xlpm.pos)
)</f>
        <v>D25</v>
      </c>
      <c r="G156">
        <f>_xlfn.XLOOKUP(Table2[[#This Row],[Trigger]],SwitchButtons[switch],SwitchButtons[input])+Table2[[#This Row],[start]]</f>
        <v>2</v>
      </c>
      <c r="H156" t="s">
        <v>540</v>
      </c>
      <c r="I156" t="str">
        <f>_xlfn.XLOOKUP(Table2[[#This Row],[set1]],circuitoutputs[circuit],circuitoutputs[device])</f>
        <v>D25</v>
      </c>
      <c r="J156">
        <f>_xlfn.XLOOKUP(Table2[[#This Row],[set1]],circuitoutputs[circuit],circuitoutputs[output])</f>
        <v>0</v>
      </c>
      <c r="K156" t="s">
        <v>494</v>
      </c>
    </row>
    <row r="157" spans="1:11" hidden="1" x14ac:dyDescent="0.25">
      <c r="A157" t="s">
        <v>134</v>
      </c>
      <c r="B157" t="s">
        <v>192</v>
      </c>
      <c r="C157" cm="1">
        <f t="array" ref="C157">_xlfn.XLOOKUP(1,(LightSpec[Location]=Table2[[#This Row],[lookup Room]]) * (LightSpec[DiagNo]=Table2[[#This Row],[lookup Device]]), LightSpec[startinput])</f>
        <v>0</v>
      </c>
      <c r="D157" t="s">
        <v>447</v>
      </c>
      <c r="E157" t="s">
        <v>500</v>
      </c>
      <c r="F157" t="str" cm="1">
        <f t="array" aca="1" ref="F157" ca="1">_xlfn.LET(
  _xlpm.txt, _xlfn.XLOOKUP(1,(LightSpec[Location]=Table2[[#This Row],[lookup Room]]) * (LightSpec[DiagNo]=Table2[[#This Row],[lookup Device]]),LightSpec[From]),
  _xlpm.n, LEN(_xlpm.txt),
  _xlpm.pos, MATCH(FALSE, ISNUMBER(MID(_xlpm.txt, ROW(INDIRECT("2:" &amp; _xlpm.n)), 1)*1), 0),
  LEFT(_xlpm.txt, _xlpm.pos)
)</f>
        <v>D25</v>
      </c>
      <c r="G157">
        <f>_xlfn.XLOOKUP(Table2[[#This Row],[Trigger]],SwitchButtons[switch],SwitchButtons[input])+Table2[[#This Row],[start]]</f>
        <v>2</v>
      </c>
      <c r="H157" t="s">
        <v>575</v>
      </c>
      <c r="I157" t="str">
        <f>_xlfn.XLOOKUP(Table2[[#This Row],[set1]],circuitoutputs[circuit],circuitoutputs[device])</f>
        <v>D25</v>
      </c>
      <c r="J157">
        <f>_xlfn.XLOOKUP(Table2[[#This Row],[set1]],circuitoutputs[circuit],circuitoutputs[output])</f>
        <v>1</v>
      </c>
      <c r="K157" t="s">
        <v>494</v>
      </c>
    </row>
    <row r="158" spans="1:11" hidden="1" x14ac:dyDescent="0.25">
      <c r="A158" t="s">
        <v>134</v>
      </c>
      <c r="B158" t="s">
        <v>192</v>
      </c>
      <c r="C158" cm="1">
        <f t="array" ref="C158">_xlfn.XLOOKUP(1,(LightSpec[Location]=Table2[[#This Row],[lookup Room]]) * (LightSpec[DiagNo]=Table2[[#This Row],[lookup Device]]), LightSpec[startinput])</f>
        <v>0</v>
      </c>
      <c r="D158" t="s">
        <v>447</v>
      </c>
      <c r="E158" t="s">
        <v>503</v>
      </c>
      <c r="F158" t="str" cm="1">
        <f t="array" aca="1" ref="F158" ca="1">_xlfn.LET(
  _xlpm.txt, _xlfn.XLOOKUP(1,(LightSpec[Location]=Table2[[#This Row],[lookup Room]]) * (LightSpec[DiagNo]=Table2[[#This Row],[lookup Device]]),LightSpec[From]),
  _xlpm.n, LEN(_xlpm.txt),
  _xlpm.pos, MATCH(FALSE, ISNUMBER(MID(_xlpm.txt, ROW(INDIRECT("2:" &amp; _xlpm.n)), 1)*1), 0),
  LEFT(_xlpm.txt, _xlpm.pos)
)</f>
        <v>D25</v>
      </c>
      <c r="G158">
        <f>_xlfn.XLOOKUP(Table2[[#This Row],[Trigger]],SwitchButtons[switch],SwitchButtons[input])+Table2[[#This Row],[start]]</f>
        <v>2</v>
      </c>
      <c r="H158" t="s">
        <v>574</v>
      </c>
      <c r="I158" t="str">
        <f>_xlfn.XLOOKUP(Table2[[#This Row],[set1]],circuitoutputs[circuit],circuitoutputs[device])</f>
        <v>D24</v>
      </c>
      <c r="J158">
        <f>_xlfn.XLOOKUP(Table2[[#This Row],[set1]],circuitoutputs[circuit],circuitoutputs[output])</f>
        <v>1</v>
      </c>
      <c r="K158" t="s">
        <v>596</v>
      </c>
    </row>
    <row r="159" spans="1:11" hidden="1" x14ac:dyDescent="0.25">
      <c r="A159" t="s">
        <v>134</v>
      </c>
      <c r="B159" t="s">
        <v>192</v>
      </c>
      <c r="C159" cm="1">
        <f t="array" ref="C159">_xlfn.XLOOKUP(1,(LightSpec[Location]=Table2[[#This Row],[lookup Room]]) * (LightSpec[DiagNo]=Table2[[#This Row],[lookup Device]]), LightSpec[startinput])</f>
        <v>0</v>
      </c>
      <c r="D159" t="s">
        <v>447</v>
      </c>
      <c r="E159" t="s">
        <v>503</v>
      </c>
      <c r="F159" t="str" cm="1">
        <f t="array" aca="1" ref="F159" ca="1">_xlfn.LET(
  _xlpm.txt, _xlfn.XLOOKUP(1,(LightSpec[Location]=Table2[[#This Row],[lookup Room]]) * (LightSpec[DiagNo]=Table2[[#This Row],[lookup Device]]),LightSpec[From]),
  _xlpm.n, LEN(_xlpm.txt),
  _xlpm.pos, MATCH(FALSE, ISNUMBER(MID(_xlpm.txt, ROW(INDIRECT("2:" &amp; _xlpm.n)), 1)*1), 0),
  LEFT(_xlpm.txt, _xlpm.pos)
)</f>
        <v>D25</v>
      </c>
      <c r="G159">
        <f>_xlfn.XLOOKUP(Table2[[#This Row],[Trigger]],SwitchButtons[switch],SwitchButtons[input])+Table2[[#This Row],[start]]</f>
        <v>2</v>
      </c>
      <c r="H159" t="s">
        <v>540</v>
      </c>
      <c r="I159" t="str">
        <f>_xlfn.XLOOKUP(Table2[[#This Row],[set1]],circuitoutputs[circuit],circuitoutputs[device])</f>
        <v>D25</v>
      </c>
      <c r="J159">
        <f>_xlfn.XLOOKUP(Table2[[#This Row],[set1]],circuitoutputs[circuit],circuitoutputs[output])</f>
        <v>0</v>
      </c>
      <c r="K159" t="s">
        <v>596</v>
      </c>
    </row>
    <row r="160" spans="1:11" hidden="1" x14ac:dyDescent="0.25">
      <c r="A160" t="s">
        <v>134</v>
      </c>
      <c r="B160" t="s">
        <v>192</v>
      </c>
      <c r="C160" cm="1">
        <f t="array" ref="C160">_xlfn.XLOOKUP(1,(LightSpec[Location]=Table2[[#This Row],[lookup Room]]) * (LightSpec[DiagNo]=Table2[[#This Row],[lookup Device]]), LightSpec[startinput])</f>
        <v>0</v>
      </c>
      <c r="D160" t="s">
        <v>447</v>
      </c>
      <c r="E160" t="s">
        <v>503</v>
      </c>
      <c r="F160" t="str" cm="1">
        <f t="array" aca="1" ref="F160" ca="1">_xlfn.LET(
  _xlpm.txt, _xlfn.XLOOKUP(1,(LightSpec[Location]=Table2[[#This Row],[lookup Room]]) * (LightSpec[DiagNo]=Table2[[#This Row],[lookup Device]]),LightSpec[From]),
  _xlpm.n, LEN(_xlpm.txt),
  _xlpm.pos, MATCH(FALSE, ISNUMBER(MID(_xlpm.txt, ROW(INDIRECT("2:" &amp; _xlpm.n)), 1)*1), 0),
  LEFT(_xlpm.txt, _xlpm.pos)
)</f>
        <v>D25</v>
      </c>
      <c r="G160">
        <f>_xlfn.XLOOKUP(Table2[[#This Row],[Trigger]],SwitchButtons[switch],SwitchButtons[input])+Table2[[#This Row],[start]]</f>
        <v>2</v>
      </c>
      <c r="H160" t="s">
        <v>575</v>
      </c>
      <c r="I160" t="str">
        <f>_xlfn.XLOOKUP(Table2[[#This Row],[set1]],circuitoutputs[circuit],circuitoutputs[device])</f>
        <v>D25</v>
      </c>
      <c r="J160">
        <f>_xlfn.XLOOKUP(Table2[[#This Row],[set1]],circuitoutputs[circuit],circuitoutputs[output])</f>
        <v>1</v>
      </c>
      <c r="K160" t="s">
        <v>596</v>
      </c>
    </row>
    <row r="161" spans="1:12" hidden="1" x14ac:dyDescent="0.25">
      <c r="A161" t="s">
        <v>134</v>
      </c>
      <c r="B161" t="s">
        <v>192</v>
      </c>
      <c r="C161" cm="1">
        <f t="array" ref="C161">_xlfn.XLOOKUP(1,(LightSpec[Location]=Table2[[#This Row],[lookup Room]]) * (LightSpec[DiagNo]=Table2[[#This Row],[lookup Device]]), LightSpec[startinput])</f>
        <v>0</v>
      </c>
      <c r="D161" t="s">
        <v>448</v>
      </c>
      <c r="E161" t="s">
        <v>500</v>
      </c>
      <c r="F161" t="str" cm="1">
        <f t="array" aca="1" ref="F161" ca="1">_xlfn.LET(
  _xlpm.txt, _xlfn.XLOOKUP(1,(LightSpec[Location]=Table2[[#This Row],[lookup Room]]) * (LightSpec[DiagNo]=Table2[[#This Row],[lookup Device]]),LightSpec[From]),
  _xlpm.n, LEN(_xlpm.txt),
  _xlpm.pos, MATCH(FALSE, ISNUMBER(MID(_xlpm.txt, ROW(INDIRECT("2:" &amp; _xlpm.n)), 1)*1), 0),
  LEFT(_xlpm.txt, _xlpm.pos)
)</f>
        <v>D25</v>
      </c>
      <c r="G161">
        <f>_xlfn.XLOOKUP(Table2[[#This Row],[Trigger]],SwitchButtons[switch],SwitchButtons[input])+Table2[[#This Row],[start]]</f>
        <v>3</v>
      </c>
      <c r="H161" t="s">
        <v>574</v>
      </c>
      <c r="I161" t="str">
        <f>_xlfn.XLOOKUP(Table2[[#This Row],[set1]],circuitoutputs[circuit],circuitoutputs[device])</f>
        <v>D24</v>
      </c>
      <c r="J161">
        <f>_xlfn.XLOOKUP(Table2[[#This Row],[set1]],circuitoutputs[circuit],circuitoutputs[output])</f>
        <v>1</v>
      </c>
      <c r="K161" t="s">
        <v>495</v>
      </c>
    </row>
    <row r="162" spans="1:12" hidden="1" x14ac:dyDescent="0.25">
      <c r="A162" t="s">
        <v>134</v>
      </c>
      <c r="B162" t="s">
        <v>192</v>
      </c>
      <c r="C162" cm="1">
        <f t="array" ref="C162">_xlfn.XLOOKUP(1,(LightSpec[Location]=Table2[[#This Row],[lookup Room]]) * (LightSpec[DiagNo]=Table2[[#This Row],[lookup Device]]), LightSpec[startinput])</f>
        <v>0</v>
      </c>
      <c r="D162" t="s">
        <v>448</v>
      </c>
      <c r="E162" t="s">
        <v>500</v>
      </c>
      <c r="F162" t="str" cm="1">
        <f t="array" aca="1" ref="F162" ca="1">_xlfn.LET(
  _xlpm.txt, _xlfn.XLOOKUP(1,(LightSpec[Location]=Table2[[#This Row],[lookup Room]]) * (LightSpec[DiagNo]=Table2[[#This Row],[lookup Device]]),LightSpec[From]),
  _xlpm.n, LEN(_xlpm.txt),
  _xlpm.pos, MATCH(FALSE, ISNUMBER(MID(_xlpm.txt, ROW(INDIRECT("2:" &amp; _xlpm.n)), 1)*1), 0),
  LEFT(_xlpm.txt, _xlpm.pos)
)</f>
        <v>D25</v>
      </c>
      <c r="G162">
        <f>_xlfn.XLOOKUP(Table2[[#This Row],[Trigger]],SwitchButtons[switch],SwitchButtons[input])+Table2[[#This Row],[start]]</f>
        <v>3</v>
      </c>
      <c r="H162" t="s">
        <v>540</v>
      </c>
      <c r="I162" t="str">
        <f>_xlfn.XLOOKUP(Table2[[#This Row],[set1]],circuitoutputs[circuit],circuitoutputs[device])</f>
        <v>D25</v>
      </c>
      <c r="J162">
        <f>_xlfn.XLOOKUP(Table2[[#This Row],[set1]],circuitoutputs[circuit],circuitoutputs[output])</f>
        <v>0</v>
      </c>
      <c r="K162" t="s">
        <v>495</v>
      </c>
    </row>
    <row r="163" spans="1:12" hidden="1" x14ac:dyDescent="0.25">
      <c r="A163" t="s">
        <v>134</v>
      </c>
      <c r="B163" t="s">
        <v>192</v>
      </c>
      <c r="C163" cm="1">
        <f t="array" ref="C163">_xlfn.XLOOKUP(1,(LightSpec[Location]=Table2[[#This Row],[lookup Room]]) * (LightSpec[DiagNo]=Table2[[#This Row],[lookup Device]]), LightSpec[startinput])</f>
        <v>0</v>
      </c>
      <c r="D163" t="s">
        <v>448</v>
      </c>
      <c r="E163" t="s">
        <v>500</v>
      </c>
      <c r="F163" t="str" cm="1">
        <f t="array" aca="1" ref="F163" ca="1">_xlfn.LET(
  _xlpm.txt, _xlfn.XLOOKUP(1,(LightSpec[Location]=Table2[[#This Row],[lookup Room]]) * (LightSpec[DiagNo]=Table2[[#This Row],[lookup Device]]),LightSpec[From]),
  _xlpm.n, LEN(_xlpm.txt),
  _xlpm.pos, MATCH(FALSE, ISNUMBER(MID(_xlpm.txt, ROW(INDIRECT("2:" &amp; _xlpm.n)), 1)*1), 0),
  LEFT(_xlpm.txt, _xlpm.pos)
)</f>
        <v>D25</v>
      </c>
      <c r="G163">
        <f>_xlfn.XLOOKUP(Table2[[#This Row],[Trigger]],SwitchButtons[switch],SwitchButtons[input])+Table2[[#This Row],[start]]</f>
        <v>3</v>
      </c>
      <c r="H163" t="s">
        <v>575</v>
      </c>
      <c r="I163" t="str">
        <f>_xlfn.XLOOKUP(Table2[[#This Row],[set1]],circuitoutputs[circuit],circuitoutputs[device])</f>
        <v>D25</v>
      </c>
      <c r="J163">
        <f>_xlfn.XLOOKUP(Table2[[#This Row],[set1]],circuitoutputs[circuit],circuitoutputs[output])</f>
        <v>1</v>
      </c>
      <c r="K163" t="s">
        <v>495</v>
      </c>
    </row>
    <row r="164" spans="1:12" hidden="1" x14ac:dyDescent="0.25">
      <c r="A164" t="s">
        <v>134</v>
      </c>
      <c r="B164" t="s">
        <v>192</v>
      </c>
      <c r="C164" cm="1">
        <f t="array" ref="C164">_xlfn.XLOOKUP(1,(LightSpec[Location]=Table2[[#This Row],[lookup Room]]) * (LightSpec[DiagNo]=Table2[[#This Row],[lookup Device]]), LightSpec[startinput])</f>
        <v>0</v>
      </c>
      <c r="D164" t="s">
        <v>445</v>
      </c>
      <c r="E164" t="s">
        <v>500</v>
      </c>
      <c r="F164" t="str" cm="1">
        <f t="array" aca="1" ref="F164" ca="1">_xlfn.LET(
  _xlpm.txt, _xlfn.XLOOKUP(1,(LightSpec[Location]=Table2[[#This Row],[lookup Room]]) * (LightSpec[DiagNo]=Table2[[#This Row],[lookup Device]]),LightSpec[From]),
  _xlpm.n, LEN(_xlpm.txt),
  _xlpm.pos, MATCH(FALSE, ISNUMBER(MID(_xlpm.txt, ROW(INDIRECT("2:" &amp; _xlpm.n)), 1)*1), 0),
  LEFT(_xlpm.txt, _xlpm.pos)
)</f>
        <v>D25</v>
      </c>
      <c r="G164">
        <f>_xlfn.XLOOKUP(Table2[[#This Row],[Trigger]],SwitchButtons[switch],SwitchButtons[input])+Table2[[#This Row],[start]]</f>
        <v>0</v>
      </c>
      <c r="H164" t="s">
        <v>541</v>
      </c>
      <c r="I164" t="str">
        <f>_xlfn.XLOOKUP(Table2[[#This Row],[set1]],circuitoutputs[circuit],circuitoutputs[device])</f>
        <v>D26</v>
      </c>
      <c r="J164">
        <f>_xlfn.XLOOKUP(Table2[[#This Row],[set1]],circuitoutputs[circuit],circuitoutputs[output])</f>
        <v>0</v>
      </c>
      <c r="K164" t="s">
        <v>494</v>
      </c>
    </row>
    <row r="165" spans="1:12" hidden="1" x14ac:dyDescent="0.25">
      <c r="A165" t="s">
        <v>134</v>
      </c>
      <c r="B165" t="s">
        <v>192</v>
      </c>
      <c r="C165" cm="1">
        <f t="array" ref="C165">_xlfn.XLOOKUP(1,(LightSpec[Location]=Table2[[#This Row],[lookup Room]]) * (LightSpec[DiagNo]=Table2[[#This Row],[lookup Device]]), LightSpec[startinput])</f>
        <v>0</v>
      </c>
      <c r="D165" t="s">
        <v>445</v>
      </c>
      <c r="E165" t="s">
        <v>500</v>
      </c>
      <c r="F165" t="str" cm="1">
        <f t="array" aca="1" ref="F165" ca="1">_xlfn.LET(
  _xlpm.txt, _xlfn.XLOOKUP(1,(LightSpec[Location]=Table2[[#This Row],[lookup Room]]) * (LightSpec[DiagNo]=Table2[[#This Row],[lookup Device]]),LightSpec[From]),
  _xlpm.n, LEN(_xlpm.txt),
  _xlpm.pos, MATCH(FALSE, ISNUMBER(MID(_xlpm.txt, ROW(INDIRECT("2:" &amp; _xlpm.n)), 1)*1), 0),
  LEFT(_xlpm.txt, _xlpm.pos)
)</f>
        <v>D25</v>
      </c>
      <c r="G165">
        <f>_xlfn.XLOOKUP(Table2[[#This Row],[Trigger]],SwitchButtons[switch],SwitchButtons[input])+Table2[[#This Row],[start]]</f>
        <v>0</v>
      </c>
      <c r="H165" t="s">
        <v>514</v>
      </c>
      <c r="I165" t="str">
        <f>_xlfn.XLOOKUP(Table2[[#This Row],[set1]],circuitoutputs[circuit],circuitoutputs[device])</f>
        <v>P5</v>
      </c>
      <c r="J165">
        <f>_xlfn.XLOOKUP(Table2[[#This Row],[set1]],circuitoutputs[circuit],circuitoutputs[output])</f>
        <v>0</v>
      </c>
      <c r="K165" t="s">
        <v>494</v>
      </c>
      <c r="L165" t="s">
        <v>598</v>
      </c>
    </row>
    <row r="166" spans="1:12" hidden="1" x14ac:dyDescent="0.25">
      <c r="A166" t="s">
        <v>134</v>
      </c>
      <c r="B166" t="s">
        <v>192</v>
      </c>
      <c r="C166" cm="1">
        <f t="array" ref="C166">_xlfn.XLOOKUP(1,(LightSpec[Location]=Table2[[#This Row],[lookup Room]]) * (LightSpec[DiagNo]=Table2[[#This Row],[lookup Device]]), LightSpec[startinput])</f>
        <v>0</v>
      </c>
      <c r="D166" t="s">
        <v>445</v>
      </c>
      <c r="E166" t="s">
        <v>500</v>
      </c>
      <c r="F166" t="str" cm="1">
        <f t="array" aca="1" ref="F166" ca="1">_xlfn.LET(
  _xlpm.txt, _xlfn.XLOOKUP(1,(LightSpec[Location]=Table2[[#This Row],[lookup Room]]) * (LightSpec[DiagNo]=Table2[[#This Row],[lookup Device]]),LightSpec[From]),
  _xlpm.n, LEN(_xlpm.txt),
  _xlpm.pos, MATCH(FALSE, ISNUMBER(MID(_xlpm.txt, ROW(INDIRECT("2:" &amp; _xlpm.n)), 1)*1), 0),
  LEFT(_xlpm.txt, _xlpm.pos)
)</f>
        <v>D25</v>
      </c>
      <c r="G166">
        <f>_xlfn.XLOOKUP(Table2[[#This Row],[Trigger]],SwitchButtons[switch],SwitchButtons[input])+Table2[[#This Row],[start]]</f>
        <v>0</v>
      </c>
      <c r="H166" t="s">
        <v>551</v>
      </c>
      <c r="I166" t="str">
        <f>_xlfn.XLOOKUP(Table2[[#This Row],[set1]],circuitoutputs[circuit],circuitoutputs[device])</f>
        <v>P5</v>
      </c>
      <c r="J166">
        <f>_xlfn.XLOOKUP(Table2[[#This Row],[set1]],circuitoutputs[circuit],circuitoutputs[output])</f>
        <v>1</v>
      </c>
      <c r="K166" t="s">
        <v>494</v>
      </c>
      <c r="L166" t="s">
        <v>598</v>
      </c>
    </row>
    <row r="167" spans="1:12" hidden="1" x14ac:dyDescent="0.25">
      <c r="A167" t="s">
        <v>134</v>
      </c>
      <c r="B167" t="s">
        <v>192</v>
      </c>
      <c r="C167" cm="1">
        <f t="array" ref="C167">_xlfn.XLOOKUP(1,(LightSpec[Location]=Table2[[#This Row],[lookup Room]]) * (LightSpec[DiagNo]=Table2[[#This Row],[lookup Device]]), LightSpec[startinput])</f>
        <v>0</v>
      </c>
      <c r="D167" t="s">
        <v>445</v>
      </c>
      <c r="E167" t="s">
        <v>503</v>
      </c>
      <c r="F167" t="str" cm="1">
        <f t="array" aca="1" ref="F167" ca="1">_xlfn.LET(
  _xlpm.txt, _xlfn.XLOOKUP(1,(LightSpec[Location]=Table2[[#This Row],[lookup Room]]) * (LightSpec[DiagNo]=Table2[[#This Row],[lookup Device]]),LightSpec[From]),
  _xlpm.n, LEN(_xlpm.txt),
  _xlpm.pos, MATCH(FALSE, ISNUMBER(MID(_xlpm.txt, ROW(INDIRECT("2:" &amp; _xlpm.n)), 1)*1), 0),
  LEFT(_xlpm.txt, _xlpm.pos)
)</f>
        <v>D25</v>
      </c>
      <c r="G167">
        <f>_xlfn.XLOOKUP(Table2[[#This Row],[Trigger]],SwitchButtons[switch],SwitchButtons[input])+Table2[[#This Row],[start]]</f>
        <v>0</v>
      </c>
      <c r="H167" t="s">
        <v>541</v>
      </c>
      <c r="I167" t="str">
        <f>_xlfn.XLOOKUP(Table2[[#This Row],[set1]],circuitoutputs[circuit],circuitoutputs[device])</f>
        <v>D26</v>
      </c>
      <c r="J167">
        <f>_xlfn.XLOOKUP(Table2[[#This Row],[set1]],circuitoutputs[circuit],circuitoutputs[output])</f>
        <v>0</v>
      </c>
      <c r="K167" t="s">
        <v>596</v>
      </c>
    </row>
    <row r="168" spans="1:12" hidden="1" x14ac:dyDescent="0.25">
      <c r="A168" t="s">
        <v>134</v>
      </c>
      <c r="B168" t="s">
        <v>192</v>
      </c>
      <c r="C168" cm="1">
        <f t="array" ref="C168">_xlfn.XLOOKUP(1,(LightSpec[Location]=Table2[[#This Row],[lookup Room]]) * (LightSpec[DiagNo]=Table2[[#This Row],[lookup Device]]), LightSpec[startinput])</f>
        <v>0</v>
      </c>
      <c r="D168" t="s">
        <v>445</v>
      </c>
      <c r="E168" t="s">
        <v>503</v>
      </c>
      <c r="F168" t="str" cm="1">
        <f t="array" aca="1" ref="F168" ca="1">_xlfn.LET(
  _xlpm.txt, _xlfn.XLOOKUP(1,(LightSpec[Location]=Table2[[#This Row],[lookup Room]]) * (LightSpec[DiagNo]=Table2[[#This Row],[lookup Device]]),LightSpec[From]),
  _xlpm.n, LEN(_xlpm.txt),
  _xlpm.pos, MATCH(FALSE, ISNUMBER(MID(_xlpm.txt, ROW(INDIRECT("2:" &amp; _xlpm.n)), 1)*1), 0),
  LEFT(_xlpm.txt, _xlpm.pos)
)</f>
        <v>D25</v>
      </c>
      <c r="G168">
        <f>_xlfn.XLOOKUP(Table2[[#This Row],[Trigger]],SwitchButtons[switch],SwitchButtons[input])+Table2[[#This Row],[start]]</f>
        <v>0</v>
      </c>
      <c r="H168" t="s">
        <v>514</v>
      </c>
      <c r="I168" t="str">
        <f>_xlfn.XLOOKUP(Table2[[#This Row],[set1]],circuitoutputs[circuit],circuitoutputs[device])</f>
        <v>P5</v>
      </c>
      <c r="J168">
        <f>_xlfn.XLOOKUP(Table2[[#This Row],[set1]],circuitoutputs[circuit],circuitoutputs[output])</f>
        <v>0</v>
      </c>
      <c r="K168" t="s">
        <v>596</v>
      </c>
    </row>
    <row r="169" spans="1:12" hidden="1" x14ac:dyDescent="0.25">
      <c r="A169" t="s">
        <v>134</v>
      </c>
      <c r="B169" t="s">
        <v>192</v>
      </c>
      <c r="C169" cm="1">
        <f t="array" ref="C169">_xlfn.XLOOKUP(1,(LightSpec[Location]=Table2[[#This Row],[lookup Room]]) * (LightSpec[DiagNo]=Table2[[#This Row],[lookup Device]]), LightSpec[startinput])</f>
        <v>0</v>
      </c>
      <c r="D169" t="s">
        <v>445</v>
      </c>
      <c r="E169" t="s">
        <v>503</v>
      </c>
      <c r="F169" t="str" cm="1">
        <f t="array" aca="1" ref="F169" ca="1">_xlfn.LET(
  _xlpm.txt, _xlfn.XLOOKUP(1,(LightSpec[Location]=Table2[[#This Row],[lookup Room]]) * (LightSpec[DiagNo]=Table2[[#This Row],[lookup Device]]),LightSpec[From]),
  _xlpm.n, LEN(_xlpm.txt),
  _xlpm.pos, MATCH(FALSE, ISNUMBER(MID(_xlpm.txt, ROW(INDIRECT("2:" &amp; _xlpm.n)), 1)*1), 0),
  LEFT(_xlpm.txt, _xlpm.pos)
)</f>
        <v>D25</v>
      </c>
      <c r="G169">
        <f>_xlfn.XLOOKUP(Table2[[#This Row],[Trigger]],SwitchButtons[switch],SwitchButtons[input])+Table2[[#This Row],[start]]</f>
        <v>0</v>
      </c>
      <c r="H169" t="s">
        <v>551</v>
      </c>
      <c r="I169" t="str">
        <f>_xlfn.XLOOKUP(Table2[[#This Row],[set1]],circuitoutputs[circuit],circuitoutputs[device])</f>
        <v>P5</v>
      </c>
      <c r="J169">
        <f>_xlfn.XLOOKUP(Table2[[#This Row],[set1]],circuitoutputs[circuit],circuitoutputs[output])</f>
        <v>1</v>
      </c>
      <c r="K169" t="s">
        <v>596</v>
      </c>
    </row>
    <row r="170" spans="1:12" hidden="1" x14ac:dyDescent="0.25">
      <c r="A170" t="s">
        <v>134</v>
      </c>
      <c r="B170" t="s">
        <v>192</v>
      </c>
      <c r="C170" cm="1">
        <f t="array" ref="C170">_xlfn.XLOOKUP(1,(LightSpec[Location]=Table2[[#This Row],[lookup Room]]) * (LightSpec[DiagNo]=Table2[[#This Row],[lookup Device]]), LightSpec[startinput])</f>
        <v>0</v>
      </c>
      <c r="D170" t="s">
        <v>446</v>
      </c>
      <c r="E170" t="s">
        <v>500</v>
      </c>
      <c r="F170" t="str" cm="1">
        <f t="array" aca="1" ref="F170" ca="1">_xlfn.LET(
  _xlpm.txt, _xlfn.XLOOKUP(1,(LightSpec[Location]=Table2[[#This Row],[lookup Room]]) * (LightSpec[DiagNo]=Table2[[#This Row],[lookup Device]]),LightSpec[From]),
  _xlpm.n, LEN(_xlpm.txt),
  _xlpm.pos, MATCH(FALSE, ISNUMBER(MID(_xlpm.txt, ROW(INDIRECT("2:" &amp; _xlpm.n)), 1)*1), 0),
  LEFT(_xlpm.txt, _xlpm.pos)
)</f>
        <v>D25</v>
      </c>
      <c r="G170">
        <f>_xlfn.XLOOKUP(Table2[[#This Row],[Trigger]],SwitchButtons[switch],SwitchButtons[input])+Table2[[#This Row],[start]]</f>
        <v>1</v>
      </c>
      <c r="H170" t="s">
        <v>541</v>
      </c>
      <c r="I170" t="str">
        <f>_xlfn.XLOOKUP(Table2[[#This Row],[set1]],circuitoutputs[circuit],circuitoutputs[device])</f>
        <v>D26</v>
      </c>
      <c r="J170">
        <f>_xlfn.XLOOKUP(Table2[[#This Row],[set1]],circuitoutputs[circuit],circuitoutputs[output])</f>
        <v>0</v>
      </c>
      <c r="K170" t="s">
        <v>495</v>
      </c>
    </row>
    <row r="171" spans="1:12" hidden="1" x14ac:dyDescent="0.25">
      <c r="A171" t="s">
        <v>134</v>
      </c>
      <c r="B171" t="s">
        <v>192</v>
      </c>
      <c r="C171" cm="1">
        <f t="array" ref="C171">_xlfn.XLOOKUP(1,(LightSpec[Location]=Table2[[#This Row],[lookup Room]]) * (LightSpec[DiagNo]=Table2[[#This Row],[lookup Device]]), LightSpec[startinput])</f>
        <v>0</v>
      </c>
      <c r="D171" t="s">
        <v>446</v>
      </c>
      <c r="E171" t="s">
        <v>500</v>
      </c>
      <c r="F171" t="str" cm="1">
        <f t="array" aca="1" ref="F171" ca="1">_xlfn.LET(
  _xlpm.txt, _xlfn.XLOOKUP(1,(LightSpec[Location]=Table2[[#This Row],[lookup Room]]) * (LightSpec[DiagNo]=Table2[[#This Row],[lookup Device]]),LightSpec[From]),
  _xlpm.n, LEN(_xlpm.txt),
  _xlpm.pos, MATCH(FALSE, ISNUMBER(MID(_xlpm.txt, ROW(INDIRECT("2:" &amp; _xlpm.n)), 1)*1), 0),
  LEFT(_xlpm.txt, _xlpm.pos)
)</f>
        <v>D25</v>
      </c>
      <c r="G171">
        <f>_xlfn.XLOOKUP(Table2[[#This Row],[Trigger]],SwitchButtons[switch],SwitchButtons[input])+Table2[[#This Row],[start]]</f>
        <v>1</v>
      </c>
      <c r="H171" t="s">
        <v>514</v>
      </c>
      <c r="I171" t="str">
        <f>_xlfn.XLOOKUP(Table2[[#This Row],[set1]],circuitoutputs[circuit],circuitoutputs[device])</f>
        <v>P5</v>
      </c>
      <c r="J171">
        <f>_xlfn.XLOOKUP(Table2[[#This Row],[set1]],circuitoutputs[circuit],circuitoutputs[output])</f>
        <v>0</v>
      </c>
      <c r="K171" t="s">
        <v>495</v>
      </c>
      <c r="L171" t="s">
        <v>598</v>
      </c>
    </row>
    <row r="172" spans="1:12" hidden="1" x14ac:dyDescent="0.25">
      <c r="A172" t="s">
        <v>134</v>
      </c>
      <c r="B172" t="s">
        <v>192</v>
      </c>
      <c r="C172" cm="1">
        <f t="array" ref="C172">_xlfn.XLOOKUP(1,(LightSpec[Location]=Table2[[#This Row],[lookup Room]]) * (LightSpec[DiagNo]=Table2[[#This Row],[lookup Device]]), LightSpec[startinput])</f>
        <v>0</v>
      </c>
      <c r="D172" t="s">
        <v>446</v>
      </c>
      <c r="E172" t="s">
        <v>500</v>
      </c>
      <c r="F172" t="str" cm="1">
        <f t="array" aca="1" ref="F172" ca="1">_xlfn.LET(
  _xlpm.txt, _xlfn.XLOOKUP(1,(LightSpec[Location]=Table2[[#This Row],[lookup Room]]) * (LightSpec[DiagNo]=Table2[[#This Row],[lookup Device]]),LightSpec[From]),
  _xlpm.n, LEN(_xlpm.txt),
  _xlpm.pos, MATCH(FALSE, ISNUMBER(MID(_xlpm.txt, ROW(INDIRECT("2:" &amp; _xlpm.n)), 1)*1), 0),
  LEFT(_xlpm.txt, _xlpm.pos)
)</f>
        <v>D25</v>
      </c>
      <c r="G172">
        <f>_xlfn.XLOOKUP(Table2[[#This Row],[Trigger]],SwitchButtons[switch],SwitchButtons[input])+Table2[[#This Row],[start]]</f>
        <v>1</v>
      </c>
      <c r="H172" t="s">
        <v>551</v>
      </c>
      <c r="I172" t="str">
        <f>_xlfn.XLOOKUP(Table2[[#This Row],[set1]],circuitoutputs[circuit],circuitoutputs[device])</f>
        <v>P5</v>
      </c>
      <c r="J172">
        <f>_xlfn.XLOOKUP(Table2[[#This Row],[set1]],circuitoutputs[circuit],circuitoutputs[output])</f>
        <v>1</v>
      </c>
      <c r="K172" t="s">
        <v>495</v>
      </c>
      <c r="L172" t="s">
        <v>598</v>
      </c>
    </row>
    <row r="173" spans="1:12" hidden="1" x14ac:dyDescent="0.25">
      <c r="A173" t="s">
        <v>135</v>
      </c>
      <c r="B173" t="s">
        <v>251</v>
      </c>
      <c r="C173" cm="1">
        <f t="array" ref="C173">_xlfn.XLOOKUP(1,(LightSpec[Location]=Table2[[#This Row],[lookup Room]]) * (LightSpec[DiagNo]=Table2[[#This Row],[lookup Device]]), LightSpec[startinput])</f>
        <v>0</v>
      </c>
      <c r="D173" t="s">
        <v>507</v>
      </c>
      <c r="E173" t="s">
        <v>588</v>
      </c>
      <c r="F173" t="str" cm="1">
        <f t="array" aca="1" ref="F173" ca="1">_xlfn.LET(
  _xlpm.txt, _xlfn.XLOOKUP(1,(LightSpec[Location]=Table2[[#This Row],[lookup Room]]) * (LightSpec[DiagNo]=Table2[[#This Row],[lookup Device]]),LightSpec[From]),
  _xlpm.n, LEN(_xlpm.txt),
  _xlpm.pos, MATCH(FALSE, ISNUMBER(MID(_xlpm.txt, ROW(INDIRECT("2:" &amp; _xlpm.n)), 1)*1), 0),
  LEFT(_xlpm.txt, _xlpm.pos)
)</f>
        <v>P2</v>
      </c>
      <c r="G173">
        <f>_xlfn.XLOOKUP(Table2[[#This Row],[Trigger]],SwitchButtons[switch],SwitchButtons[input])+Table2[[#This Row],[start]]</f>
        <v>2</v>
      </c>
      <c r="H173" t="s">
        <v>541</v>
      </c>
      <c r="I173" t="str">
        <f>_xlfn.XLOOKUP(Table2[[#This Row],[set1]],circuitoutputs[circuit],circuitoutputs[device])</f>
        <v>D26</v>
      </c>
      <c r="J173">
        <f>_xlfn.XLOOKUP(Table2[[#This Row],[set1]],circuitoutputs[circuit],circuitoutputs[output])</f>
        <v>0</v>
      </c>
      <c r="K173" t="s">
        <v>594</v>
      </c>
    </row>
    <row r="174" spans="1:12" hidden="1" x14ac:dyDescent="0.25">
      <c r="A174" t="s">
        <v>135</v>
      </c>
      <c r="B174" t="s">
        <v>251</v>
      </c>
      <c r="C174" cm="1">
        <f t="array" ref="C174">_xlfn.XLOOKUP(1,(LightSpec[Location]=Table2[[#This Row],[lookup Room]]) * (LightSpec[DiagNo]=Table2[[#This Row],[lookup Device]]), LightSpec[startinput])</f>
        <v>0</v>
      </c>
      <c r="D174" t="s">
        <v>507</v>
      </c>
      <c r="E174" t="s">
        <v>588</v>
      </c>
      <c r="F174" t="str" cm="1">
        <f t="array" aca="1" ref="F174" ca="1">_xlfn.LET(
  _xlpm.txt, _xlfn.XLOOKUP(1,(LightSpec[Location]=Table2[[#This Row],[lookup Room]]) * (LightSpec[DiagNo]=Table2[[#This Row],[lookup Device]]),LightSpec[From]),
  _xlpm.n, LEN(_xlpm.txt),
  _xlpm.pos, MATCH(FALSE, ISNUMBER(MID(_xlpm.txt, ROW(INDIRECT("2:" &amp; _xlpm.n)), 1)*1), 0),
  LEFT(_xlpm.txt, _xlpm.pos)
)</f>
        <v>P2</v>
      </c>
      <c r="G174">
        <f>_xlfn.XLOOKUP(Table2[[#This Row],[Trigger]],SwitchButtons[switch],SwitchButtons[input])+Table2[[#This Row],[start]]</f>
        <v>2</v>
      </c>
      <c r="H174" t="s">
        <v>514</v>
      </c>
      <c r="I174" t="str">
        <f>_xlfn.XLOOKUP(Table2[[#This Row],[set1]],circuitoutputs[circuit],circuitoutputs[device])</f>
        <v>P5</v>
      </c>
      <c r="J174">
        <f>_xlfn.XLOOKUP(Table2[[#This Row],[set1]],circuitoutputs[circuit],circuitoutputs[output])</f>
        <v>0</v>
      </c>
      <c r="K174" t="s">
        <v>594</v>
      </c>
      <c r="L174" t="s">
        <v>598</v>
      </c>
    </row>
    <row r="175" spans="1:12" hidden="1" x14ac:dyDescent="0.25">
      <c r="A175" t="s">
        <v>135</v>
      </c>
      <c r="B175" t="s">
        <v>251</v>
      </c>
      <c r="C175" cm="1">
        <f t="array" ref="C175">_xlfn.XLOOKUP(1,(LightSpec[Location]=Table2[[#This Row],[lookup Room]]) * (LightSpec[DiagNo]=Table2[[#This Row],[lookup Device]]), LightSpec[startinput])</f>
        <v>0</v>
      </c>
      <c r="D175" t="s">
        <v>507</v>
      </c>
      <c r="E175" t="s">
        <v>588</v>
      </c>
      <c r="F175" t="str" cm="1">
        <f t="array" aca="1" ref="F175" ca="1">_xlfn.LET(
  _xlpm.txt, _xlfn.XLOOKUP(1,(LightSpec[Location]=Table2[[#This Row],[lookup Room]]) * (LightSpec[DiagNo]=Table2[[#This Row],[lookup Device]]),LightSpec[From]),
  _xlpm.n, LEN(_xlpm.txt),
  _xlpm.pos, MATCH(FALSE, ISNUMBER(MID(_xlpm.txt, ROW(INDIRECT("2:" &amp; _xlpm.n)), 1)*1), 0),
  LEFT(_xlpm.txt, _xlpm.pos)
)</f>
        <v>P2</v>
      </c>
      <c r="G175">
        <f>_xlfn.XLOOKUP(Table2[[#This Row],[Trigger]],SwitchButtons[switch],SwitchButtons[input])+Table2[[#This Row],[start]]</f>
        <v>2</v>
      </c>
      <c r="H175" t="s">
        <v>551</v>
      </c>
      <c r="I175" t="str">
        <f>_xlfn.XLOOKUP(Table2[[#This Row],[set1]],circuitoutputs[circuit],circuitoutputs[device])</f>
        <v>P5</v>
      </c>
      <c r="J175">
        <f>_xlfn.XLOOKUP(Table2[[#This Row],[set1]],circuitoutputs[circuit],circuitoutputs[output])</f>
        <v>1</v>
      </c>
      <c r="K175" t="s">
        <v>594</v>
      </c>
      <c r="L175" t="s">
        <v>598</v>
      </c>
    </row>
    <row r="176" spans="1:12" hidden="1" x14ac:dyDescent="0.25">
      <c r="A176" t="s">
        <v>135</v>
      </c>
      <c r="B176" t="s">
        <v>251</v>
      </c>
      <c r="C176" cm="1">
        <f t="array" ref="C176">_xlfn.XLOOKUP(1,(LightSpec[Location]=Table2[[#This Row],[lookup Room]]) * (LightSpec[DiagNo]=Table2[[#This Row],[lookup Device]]), LightSpec[startinput])</f>
        <v>0</v>
      </c>
      <c r="D176" t="s">
        <v>507</v>
      </c>
      <c r="E176" t="s">
        <v>589</v>
      </c>
      <c r="F176" t="str" cm="1">
        <f t="array" aca="1" ref="F176" ca="1">_xlfn.LET(
  _xlpm.txt, _xlfn.XLOOKUP(1,(LightSpec[Location]=Table2[[#This Row],[lookup Room]]) * (LightSpec[DiagNo]=Table2[[#This Row],[lookup Device]]),LightSpec[From]),
  _xlpm.n, LEN(_xlpm.txt),
  _xlpm.pos, MATCH(FALSE, ISNUMBER(MID(_xlpm.txt, ROW(INDIRECT("2:" &amp; _xlpm.n)), 1)*1), 0),
  LEFT(_xlpm.txt, _xlpm.pos)
)</f>
        <v>P2</v>
      </c>
      <c r="G176">
        <f>_xlfn.XLOOKUP(Table2[[#This Row],[Trigger]],SwitchButtons[switch],SwitchButtons[input])+Table2[[#This Row],[start]]</f>
        <v>2</v>
      </c>
      <c r="H176" t="s">
        <v>541</v>
      </c>
      <c r="I176" t="str">
        <f>_xlfn.XLOOKUP(Table2[[#This Row],[set1]],circuitoutputs[circuit],circuitoutputs[device])</f>
        <v>D26</v>
      </c>
      <c r="J176">
        <f>_xlfn.XLOOKUP(Table2[[#This Row],[set1]],circuitoutputs[circuit],circuitoutputs[output])</f>
        <v>0</v>
      </c>
      <c r="K176" t="s">
        <v>495</v>
      </c>
    </row>
    <row r="177" spans="1:12" hidden="1" x14ac:dyDescent="0.25">
      <c r="A177" t="s">
        <v>135</v>
      </c>
      <c r="B177" t="s">
        <v>251</v>
      </c>
      <c r="C177" cm="1">
        <f t="array" ref="C177">_xlfn.XLOOKUP(1,(LightSpec[Location]=Table2[[#This Row],[lookup Room]]) * (LightSpec[DiagNo]=Table2[[#This Row],[lookup Device]]), LightSpec[startinput])</f>
        <v>0</v>
      </c>
      <c r="D177" t="s">
        <v>507</v>
      </c>
      <c r="E177" t="s">
        <v>589</v>
      </c>
      <c r="F177" t="str" cm="1">
        <f t="array" aca="1" ref="F177" ca="1">_xlfn.LET(
  _xlpm.txt, _xlfn.XLOOKUP(1,(LightSpec[Location]=Table2[[#This Row],[lookup Room]]) * (LightSpec[DiagNo]=Table2[[#This Row],[lookup Device]]),LightSpec[From]),
  _xlpm.n, LEN(_xlpm.txt),
  _xlpm.pos, MATCH(FALSE, ISNUMBER(MID(_xlpm.txt, ROW(INDIRECT("2:" &amp; _xlpm.n)), 1)*1), 0),
  LEFT(_xlpm.txt, _xlpm.pos)
)</f>
        <v>P2</v>
      </c>
      <c r="G177">
        <f>_xlfn.XLOOKUP(Table2[[#This Row],[Trigger]],SwitchButtons[switch],SwitchButtons[input])+Table2[[#This Row],[start]]</f>
        <v>2</v>
      </c>
      <c r="H177" t="s">
        <v>514</v>
      </c>
      <c r="I177" t="str">
        <f>_xlfn.XLOOKUP(Table2[[#This Row],[set1]],circuitoutputs[circuit],circuitoutputs[device])</f>
        <v>P5</v>
      </c>
      <c r="J177">
        <f>_xlfn.XLOOKUP(Table2[[#This Row],[set1]],circuitoutputs[circuit],circuitoutputs[output])</f>
        <v>0</v>
      </c>
      <c r="K177" t="s">
        <v>495</v>
      </c>
      <c r="L177" t="s">
        <v>598</v>
      </c>
    </row>
    <row r="178" spans="1:12" hidden="1" x14ac:dyDescent="0.25">
      <c r="A178" t="s">
        <v>135</v>
      </c>
      <c r="B178" t="s">
        <v>251</v>
      </c>
      <c r="C178" cm="1">
        <f t="array" ref="C178">_xlfn.XLOOKUP(1,(LightSpec[Location]=Table2[[#This Row],[lookup Room]]) * (LightSpec[DiagNo]=Table2[[#This Row],[lookup Device]]), LightSpec[startinput])</f>
        <v>0</v>
      </c>
      <c r="D178" t="s">
        <v>507</v>
      </c>
      <c r="E178" t="s">
        <v>589</v>
      </c>
      <c r="F178" t="str" cm="1">
        <f t="array" aca="1" ref="F178" ca="1">_xlfn.LET(
  _xlpm.txt, _xlfn.XLOOKUP(1,(LightSpec[Location]=Table2[[#This Row],[lookup Room]]) * (LightSpec[DiagNo]=Table2[[#This Row],[lookup Device]]),LightSpec[From]),
  _xlpm.n, LEN(_xlpm.txt),
  _xlpm.pos, MATCH(FALSE, ISNUMBER(MID(_xlpm.txt, ROW(INDIRECT("2:" &amp; _xlpm.n)), 1)*1), 0),
  LEFT(_xlpm.txt, _xlpm.pos)
)</f>
        <v>P2</v>
      </c>
      <c r="G178">
        <f>_xlfn.XLOOKUP(Table2[[#This Row],[Trigger]],SwitchButtons[switch],SwitchButtons[input])+Table2[[#This Row],[start]]</f>
        <v>2</v>
      </c>
      <c r="H178" t="s">
        <v>551</v>
      </c>
      <c r="I178" t="str">
        <f>_xlfn.XLOOKUP(Table2[[#This Row],[set1]],circuitoutputs[circuit],circuitoutputs[device])</f>
        <v>P5</v>
      </c>
      <c r="J178">
        <f>_xlfn.XLOOKUP(Table2[[#This Row],[set1]],circuitoutputs[circuit],circuitoutputs[output])</f>
        <v>1</v>
      </c>
      <c r="K178" t="s">
        <v>495</v>
      </c>
      <c r="L178" t="s">
        <v>598</v>
      </c>
    </row>
    <row r="179" spans="1:12" hidden="1" x14ac:dyDescent="0.25">
      <c r="A179" t="s">
        <v>120</v>
      </c>
      <c r="B179" t="s">
        <v>192</v>
      </c>
      <c r="C179" cm="1">
        <f t="array" ref="C179">_xlfn.XLOOKUP(1,(LightSpec[Location]=Table2[[#This Row],[lookup Room]]) * (LightSpec[DiagNo]=Table2[[#This Row],[lookup Device]]), LightSpec[startinput])</f>
        <v>0</v>
      </c>
      <c r="D179" t="s">
        <v>445</v>
      </c>
      <c r="E179" t="s">
        <v>500</v>
      </c>
      <c r="F179" t="str" cm="1">
        <f t="array" aca="1" ref="F179" ca="1">_xlfn.LET(
  _xlpm.txt, _xlfn.XLOOKUP(1,(LightSpec[Location]=Table2[[#This Row],[lookup Room]]) * (LightSpec[DiagNo]=Table2[[#This Row],[lookup Device]]),LightSpec[From]),
  _xlpm.n, LEN(_xlpm.txt),
  _xlpm.pos, MATCH(FALSE, ISNUMBER(MID(_xlpm.txt, ROW(INDIRECT("2:" &amp; _xlpm.n)), 1)*1), 0),
  LEFT(_xlpm.txt, _xlpm.pos)
)</f>
        <v>D26</v>
      </c>
      <c r="G179">
        <f>_xlfn.XLOOKUP(Table2[[#This Row],[Trigger]],SwitchButtons[switch],SwitchButtons[input])+Table2[[#This Row],[start]]</f>
        <v>0</v>
      </c>
      <c r="H179" t="s">
        <v>542</v>
      </c>
      <c r="I179" t="str">
        <f>_xlfn.XLOOKUP(Table2[[#This Row],[set1]],circuitoutputs[circuit],circuitoutputs[device])</f>
        <v>D27</v>
      </c>
      <c r="J179">
        <f>_xlfn.XLOOKUP(Table2[[#This Row],[set1]],circuitoutputs[circuit],circuitoutputs[output])</f>
        <v>0</v>
      </c>
      <c r="K179" t="s">
        <v>494</v>
      </c>
    </row>
    <row r="180" spans="1:12" hidden="1" x14ac:dyDescent="0.25">
      <c r="A180" t="s">
        <v>120</v>
      </c>
      <c r="B180" t="s">
        <v>192</v>
      </c>
      <c r="C180" cm="1">
        <f t="array" ref="C180">_xlfn.XLOOKUP(1,(LightSpec[Location]=Table2[[#This Row],[lookup Room]]) * (LightSpec[DiagNo]=Table2[[#This Row],[lookup Device]]), LightSpec[startinput])</f>
        <v>0</v>
      </c>
      <c r="D180" t="s">
        <v>445</v>
      </c>
      <c r="E180" t="s">
        <v>500</v>
      </c>
      <c r="F180" t="str" cm="1">
        <f t="array" aca="1" ref="F180" ca="1">_xlfn.LET(
  _xlpm.txt, _xlfn.XLOOKUP(1,(LightSpec[Location]=Table2[[#This Row],[lookup Room]]) * (LightSpec[DiagNo]=Table2[[#This Row],[lookup Device]]),LightSpec[From]),
  _xlpm.n, LEN(_xlpm.txt),
  _xlpm.pos, MATCH(FALSE, ISNUMBER(MID(_xlpm.txt, ROW(INDIRECT("2:" &amp; _xlpm.n)), 1)*1), 0),
  LEFT(_xlpm.txt, _xlpm.pos)
)</f>
        <v>D26</v>
      </c>
      <c r="G180">
        <f>_xlfn.XLOOKUP(Table2[[#This Row],[Trigger]],SwitchButtons[switch],SwitchButtons[input])+Table2[[#This Row],[start]]</f>
        <v>0</v>
      </c>
      <c r="H180" t="s">
        <v>544</v>
      </c>
      <c r="I180" t="str">
        <f>_xlfn.XLOOKUP(Table2[[#This Row],[set1]],circuitoutputs[circuit],circuitoutputs[device])</f>
        <v>D29</v>
      </c>
      <c r="J180">
        <f>_xlfn.XLOOKUP(Table2[[#This Row],[set1]],circuitoutputs[circuit],circuitoutputs[output])</f>
        <v>0</v>
      </c>
      <c r="K180" t="s">
        <v>494</v>
      </c>
    </row>
    <row r="181" spans="1:12" hidden="1" x14ac:dyDescent="0.25">
      <c r="A181" t="s">
        <v>120</v>
      </c>
      <c r="B181" t="s">
        <v>192</v>
      </c>
      <c r="C181" cm="1">
        <f t="array" ref="C181">_xlfn.XLOOKUP(1,(LightSpec[Location]=Table2[[#This Row],[lookup Room]]) * (LightSpec[DiagNo]=Table2[[#This Row],[lookup Device]]), LightSpec[startinput])</f>
        <v>0</v>
      </c>
      <c r="D181" t="s">
        <v>445</v>
      </c>
      <c r="E181" t="s">
        <v>500</v>
      </c>
      <c r="F181" t="str" cm="1">
        <f t="array" aca="1" ref="F181" ca="1">_xlfn.LET(
  _xlpm.txt, _xlfn.XLOOKUP(1,(LightSpec[Location]=Table2[[#This Row],[lookup Room]]) * (LightSpec[DiagNo]=Table2[[#This Row],[lookup Device]]),LightSpec[From]),
  _xlpm.n, LEN(_xlpm.txt),
  _xlpm.pos, MATCH(FALSE, ISNUMBER(MID(_xlpm.txt, ROW(INDIRECT("2:" &amp; _xlpm.n)), 1)*1), 0),
  LEFT(_xlpm.txt, _xlpm.pos)
)</f>
        <v>D26</v>
      </c>
      <c r="G181">
        <f>_xlfn.XLOOKUP(Table2[[#This Row],[Trigger]],SwitchButtons[switch],SwitchButtons[input])+Table2[[#This Row],[start]]</f>
        <v>0</v>
      </c>
      <c r="H181" t="s">
        <v>576</v>
      </c>
      <c r="I181" t="str">
        <f>_xlfn.XLOOKUP(Table2[[#This Row],[set1]],circuitoutputs[circuit],circuitoutputs[device])</f>
        <v>D27</v>
      </c>
      <c r="J181">
        <f>_xlfn.XLOOKUP(Table2[[#This Row],[set1]],circuitoutputs[circuit],circuitoutputs[output])</f>
        <v>1</v>
      </c>
      <c r="K181" t="s">
        <v>494</v>
      </c>
    </row>
    <row r="182" spans="1:12" hidden="1" x14ac:dyDescent="0.25">
      <c r="A182" t="s">
        <v>120</v>
      </c>
      <c r="B182" t="s">
        <v>192</v>
      </c>
      <c r="C182" cm="1">
        <f t="array" ref="C182">_xlfn.XLOOKUP(1,(LightSpec[Location]=Table2[[#This Row],[lookup Room]]) * (LightSpec[DiagNo]=Table2[[#This Row],[lookup Device]]), LightSpec[startinput])</f>
        <v>0</v>
      </c>
      <c r="D182" t="s">
        <v>445</v>
      </c>
      <c r="E182" t="s">
        <v>503</v>
      </c>
      <c r="F182" t="str" cm="1">
        <f t="array" aca="1" ref="F182" ca="1">_xlfn.LET(
  _xlpm.txt, _xlfn.XLOOKUP(1,(LightSpec[Location]=Table2[[#This Row],[lookup Room]]) * (LightSpec[DiagNo]=Table2[[#This Row],[lookup Device]]),LightSpec[From]),
  _xlpm.n, LEN(_xlpm.txt),
  _xlpm.pos, MATCH(FALSE, ISNUMBER(MID(_xlpm.txt, ROW(INDIRECT("2:" &amp; _xlpm.n)), 1)*1), 0),
  LEFT(_xlpm.txt, _xlpm.pos)
)</f>
        <v>D26</v>
      </c>
      <c r="G182">
        <f>_xlfn.XLOOKUP(Table2[[#This Row],[Trigger]],SwitchButtons[switch],SwitchButtons[input])+Table2[[#This Row],[start]]</f>
        <v>0</v>
      </c>
      <c r="H182" t="s">
        <v>542</v>
      </c>
      <c r="I182" t="str">
        <f>_xlfn.XLOOKUP(Table2[[#This Row],[set1]],circuitoutputs[circuit],circuitoutputs[device])</f>
        <v>D27</v>
      </c>
      <c r="J182">
        <f>_xlfn.XLOOKUP(Table2[[#This Row],[set1]],circuitoutputs[circuit],circuitoutputs[output])</f>
        <v>0</v>
      </c>
      <c r="K182" t="s">
        <v>596</v>
      </c>
    </row>
    <row r="183" spans="1:12" hidden="1" x14ac:dyDescent="0.25">
      <c r="A183" t="s">
        <v>120</v>
      </c>
      <c r="B183" t="s">
        <v>192</v>
      </c>
      <c r="C183" cm="1">
        <f t="array" ref="C183">_xlfn.XLOOKUP(1,(LightSpec[Location]=Table2[[#This Row],[lookup Room]]) * (LightSpec[DiagNo]=Table2[[#This Row],[lookup Device]]), LightSpec[startinput])</f>
        <v>0</v>
      </c>
      <c r="D183" t="s">
        <v>445</v>
      </c>
      <c r="E183" t="s">
        <v>503</v>
      </c>
      <c r="F183" t="str" cm="1">
        <f t="array" aca="1" ref="F183" ca="1">_xlfn.LET(
  _xlpm.txt, _xlfn.XLOOKUP(1,(LightSpec[Location]=Table2[[#This Row],[lookup Room]]) * (LightSpec[DiagNo]=Table2[[#This Row],[lookup Device]]),LightSpec[From]),
  _xlpm.n, LEN(_xlpm.txt),
  _xlpm.pos, MATCH(FALSE, ISNUMBER(MID(_xlpm.txt, ROW(INDIRECT("2:" &amp; _xlpm.n)), 1)*1), 0),
  LEFT(_xlpm.txt, _xlpm.pos)
)</f>
        <v>D26</v>
      </c>
      <c r="G183">
        <f>_xlfn.XLOOKUP(Table2[[#This Row],[Trigger]],SwitchButtons[switch],SwitchButtons[input])+Table2[[#This Row],[start]]</f>
        <v>0</v>
      </c>
      <c r="H183" t="s">
        <v>544</v>
      </c>
      <c r="I183" t="str">
        <f>_xlfn.XLOOKUP(Table2[[#This Row],[set1]],circuitoutputs[circuit],circuitoutputs[device])</f>
        <v>D29</v>
      </c>
      <c r="J183">
        <f>_xlfn.XLOOKUP(Table2[[#This Row],[set1]],circuitoutputs[circuit],circuitoutputs[output])</f>
        <v>0</v>
      </c>
      <c r="K183" t="s">
        <v>596</v>
      </c>
    </row>
    <row r="184" spans="1:12" hidden="1" x14ac:dyDescent="0.25">
      <c r="A184" t="s">
        <v>120</v>
      </c>
      <c r="B184" t="s">
        <v>192</v>
      </c>
      <c r="C184" cm="1">
        <f t="array" ref="C184">_xlfn.XLOOKUP(1,(LightSpec[Location]=Table2[[#This Row],[lookup Room]]) * (LightSpec[DiagNo]=Table2[[#This Row],[lookup Device]]), LightSpec[startinput])</f>
        <v>0</v>
      </c>
      <c r="D184" t="s">
        <v>445</v>
      </c>
      <c r="E184" t="s">
        <v>503</v>
      </c>
      <c r="F184" t="str" cm="1">
        <f t="array" aca="1" ref="F184" ca="1">_xlfn.LET(
  _xlpm.txt, _xlfn.XLOOKUP(1,(LightSpec[Location]=Table2[[#This Row],[lookup Room]]) * (LightSpec[DiagNo]=Table2[[#This Row],[lookup Device]]),LightSpec[From]),
  _xlpm.n, LEN(_xlpm.txt),
  _xlpm.pos, MATCH(FALSE, ISNUMBER(MID(_xlpm.txt, ROW(INDIRECT("2:" &amp; _xlpm.n)), 1)*1), 0),
  LEFT(_xlpm.txt, _xlpm.pos)
)</f>
        <v>D26</v>
      </c>
      <c r="G184">
        <f>_xlfn.XLOOKUP(Table2[[#This Row],[Trigger]],SwitchButtons[switch],SwitchButtons[input])+Table2[[#This Row],[start]]</f>
        <v>0</v>
      </c>
      <c r="H184" t="s">
        <v>576</v>
      </c>
      <c r="I184" t="str">
        <f>_xlfn.XLOOKUP(Table2[[#This Row],[set1]],circuitoutputs[circuit],circuitoutputs[device])</f>
        <v>D27</v>
      </c>
      <c r="J184">
        <f>_xlfn.XLOOKUP(Table2[[#This Row],[set1]],circuitoutputs[circuit],circuitoutputs[output])</f>
        <v>1</v>
      </c>
      <c r="K184" t="s">
        <v>596</v>
      </c>
    </row>
    <row r="185" spans="1:12" hidden="1" x14ac:dyDescent="0.25">
      <c r="A185" t="s">
        <v>120</v>
      </c>
      <c r="B185" t="s">
        <v>192</v>
      </c>
      <c r="C185" cm="1">
        <f t="array" ref="C185">_xlfn.XLOOKUP(1,(LightSpec[Location]=Table2[[#This Row],[lookup Room]]) * (LightSpec[DiagNo]=Table2[[#This Row],[lookup Device]]), LightSpec[startinput])</f>
        <v>0</v>
      </c>
      <c r="D185" t="s">
        <v>446</v>
      </c>
      <c r="E185" t="s">
        <v>500</v>
      </c>
      <c r="F185" t="str" cm="1">
        <f t="array" aca="1" ref="F185" ca="1">_xlfn.LET(
  _xlpm.txt, _xlfn.XLOOKUP(1,(LightSpec[Location]=Table2[[#This Row],[lookup Room]]) * (LightSpec[DiagNo]=Table2[[#This Row],[lookup Device]]),LightSpec[From]),
  _xlpm.n, LEN(_xlpm.txt),
  _xlpm.pos, MATCH(FALSE, ISNUMBER(MID(_xlpm.txt, ROW(INDIRECT("2:" &amp; _xlpm.n)), 1)*1), 0),
  LEFT(_xlpm.txt, _xlpm.pos)
)</f>
        <v>D26</v>
      </c>
      <c r="G185">
        <f>_xlfn.XLOOKUP(Table2[[#This Row],[Trigger]],SwitchButtons[switch],SwitchButtons[input])+Table2[[#This Row],[start]]</f>
        <v>1</v>
      </c>
      <c r="H185" t="s">
        <v>542</v>
      </c>
      <c r="I185" t="str">
        <f>_xlfn.XLOOKUP(Table2[[#This Row],[set1]],circuitoutputs[circuit],circuitoutputs[device])</f>
        <v>D27</v>
      </c>
      <c r="J185">
        <f>_xlfn.XLOOKUP(Table2[[#This Row],[set1]],circuitoutputs[circuit],circuitoutputs[output])</f>
        <v>0</v>
      </c>
      <c r="K185" t="s">
        <v>495</v>
      </c>
    </row>
    <row r="186" spans="1:12" hidden="1" x14ac:dyDescent="0.25">
      <c r="A186" t="s">
        <v>120</v>
      </c>
      <c r="B186" t="s">
        <v>192</v>
      </c>
      <c r="C186" cm="1">
        <f t="array" ref="C186">_xlfn.XLOOKUP(1,(LightSpec[Location]=Table2[[#This Row],[lookup Room]]) * (LightSpec[DiagNo]=Table2[[#This Row],[lookup Device]]), LightSpec[startinput])</f>
        <v>0</v>
      </c>
      <c r="D186" t="s">
        <v>446</v>
      </c>
      <c r="E186" t="s">
        <v>500</v>
      </c>
      <c r="F186" t="str" cm="1">
        <f t="array" aca="1" ref="F186" ca="1">_xlfn.LET(
  _xlpm.txt, _xlfn.XLOOKUP(1,(LightSpec[Location]=Table2[[#This Row],[lookup Room]]) * (LightSpec[DiagNo]=Table2[[#This Row],[lookup Device]]),LightSpec[From]),
  _xlpm.n, LEN(_xlpm.txt),
  _xlpm.pos, MATCH(FALSE, ISNUMBER(MID(_xlpm.txt, ROW(INDIRECT("2:" &amp; _xlpm.n)), 1)*1), 0),
  LEFT(_xlpm.txt, _xlpm.pos)
)</f>
        <v>D26</v>
      </c>
      <c r="G186">
        <f>_xlfn.XLOOKUP(Table2[[#This Row],[Trigger]],SwitchButtons[switch],SwitchButtons[input])+Table2[[#This Row],[start]]</f>
        <v>1</v>
      </c>
      <c r="H186" t="s">
        <v>544</v>
      </c>
      <c r="I186" t="str">
        <f>_xlfn.XLOOKUP(Table2[[#This Row],[set1]],circuitoutputs[circuit],circuitoutputs[device])</f>
        <v>D29</v>
      </c>
      <c r="J186">
        <f>_xlfn.XLOOKUP(Table2[[#This Row],[set1]],circuitoutputs[circuit],circuitoutputs[output])</f>
        <v>0</v>
      </c>
      <c r="K186" t="s">
        <v>495</v>
      </c>
    </row>
    <row r="187" spans="1:12" hidden="1" x14ac:dyDescent="0.25">
      <c r="A187" t="s">
        <v>120</v>
      </c>
      <c r="B187" t="s">
        <v>192</v>
      </c>
      <c r="C187" cm="1">
        <f t="array" ref="C187">_xlfn.XLOOKUP(1,(LightSpec[Location]=Table2[[#This Row],[lookup Room]]) * (LightSpec[DiagNo]=Table2[[#This Row],[lookup Device]]), LightSpec[startinput])</f>
        <v>0</v>
      </c>
      <c r="D187" t="s">
        <v>446</v>
      </c>
      <c r="E187" t="s">
        <v>500</v>
      </c>
      <c r="F187" t="str" cm="1">
        <f t="array" aca="1" ref="F187" ca="1">_xlfn.LET(
  _xlpm.txt, _xlfn.XLOOKUP(1,(LightSpec[Location]=Table2[[#This Row],[lookup Room]]) * (LightSpec[DiagNo]=Table2[[#This Row],[lookup Device]]),LightSpec[From]),
  _xlpm.n, LEN(_xlpm.txt),
  _xlpm.pos, MATCH(FALSE, ISNUMBER(MID(_xlpm.txt, ROW(INDIRECT("2:" &amp; _xlpm.n)), 1)*1), 0),
  LEFT(_xlpm.txt, _xlpm.pos)
)</f>
        <v>D26</v>
      </c>
      <c r="G187">
        <f>_xlfn.XLOOKUP(Table2[[#This Row],[Trigger]],SwitchButtons[switch],SwitchButtons[input])+Table2[[#This Row],[start]]</f>
        <v>1</v>
      </c>
      <c r="H187" t="s">
        <v>576</v>
      </c>
      <c r="I187" t="str">
        <f>_xlfn.XLOOKUP(Table2[[#This Row],[set1]],circuitoutputs[circuit],circuitoutputs[device])</f>
        <v>D27</v>
      </c>
      <c r="J187">
        <f>_xlfn.XLOOKUP(Table2[[#This Row],[set1]],circuitoutputs[circuit],circuitoutputs[output])</f>
        <v>1</v>
      </c>
      <c r="K187" t="s">
        <v>495</v>
      </c>
    </row>
    <row r="188" spans="1:12" hidden="1" x14ac:dyDescent="0.25">
      <c r="A188" t="s">
        <v>120</v>
      </c>
      <c r="B188" t="s">
        <v>193</v>
      </c>
      <c r="C188" cm="1">
        <f t="array" ref="C188">_xlfn.XLOOKUP(1,(LightSpec[Location]=Table2[[#This Row],[lookup Room]]) * (LightSpec[DiagNo]=Table2[[#This Row],[lookup Device]]), LightSpec[startinput])</f>
        <v>0</v>
      </c>
      <c r="D188" t="s">
        <v>445</v>
      </c>
      <c r="E188" t="s">
        <v>500</v>
      </c>
      <c r="F188" t="str" cm="1">
        <f t="array" aca="1" ref="F188" ca="1">_xlfn.LET(
  _xlpm.txt, _xlfn.XLOOKUP(1,(LightSpec[Location]=Table2[[#This Row],[lookup Room]]) * (LightSpec[DiagNo]=Table2[[#This Row],[lookup Device]]),LightSpec[From]),
  _xlpm.n, LEN(_xlpm.txt),
  _xlpm.pos, MATCH(FALSE, ISNUMBER(MID(_xlpm.txt, ROW(INDIRECT("2:" &amp; _xlpm.n)), 1)*1), 0),
  LEFT(_xlpm.txt, _xlpm.pos)
)</f>
        <v>D27</v>
      </c>
      <c r="G188">
        <f>_xlfn.XLOOKUP(Table2[[#This Row],[Trigger]],SwitchButtons[switch],SwitchButtons[input])+Table2[[#This Row],[start]]</f>
        <v>0</v>
      </c>
      <c r="H188" t="s">
        <v>542</v>
      </c>
      <c r="I188" t="str">
        <f>_xlfn.XLOOKUP(Table2[[#This Row],[set1]],circuitoutputs[circuit],circuitoutputs[device])</f>
        <v>D27</v>
      </c>
      <c r="J188">
        <f>_xlfn.XLOOKUP(Table2[[#This Row],[set1]],circuitoutputs[circuit],circuitoutputs[output])</f>
        <v>0</v>
      </c>
      <c r="K188" t="s">
        <v>494</v>
      </c>
    </row>
    <row r="189" spans="1:12" hidden="1" x14ac:dyDescent="0.25">
      <c r="A189" t="s">
        <v>120</v>
      </c>
      <c r="B189" t="s">
        <v>193</v>
      </c>
      <c r="C189" cm="1">
        <f t="array" ref="C189">_xlfn.XLOOKUP(1,(LightSpec[Location]=Table2[[#This Row],[lookup Room]]) * (LightSpec[DiagNo]=Table2[[#This Row],[lookup Device]]), LightSpec[startinput])</f>
        <v>0</v>
      </c>
      <c r="D189" t="s">
        <v>445</v>
      </c>
      <c r="E189" t="s">
        <v>500</v>
      </c>
      <c r="F189" t="str" cm="1">
        <f t="array" aca="1" ref="F189" ca="1">_xlfn.LET(
  _xlpm.txt, _xlfn.XLOOKUP(1,(LightSpec[Location]=Table2[[#This Row],[lookup Room]]) * (LightSpec[DiagNo]=Table2[[#This Row],[lookup Device]]),LightSpec[From]),
  _xlpm.n, LEN(_xlpm.txt),
  _xlpm.pos, MATCH(FALSE, ISNUMBER(MID(_xlpm.txt, ROW(INDIRECT("2:" &amp; _xlpm.n)), 1)*1), 0),
  LEFT(_xlpm.txt, _xlpm.pos)
)</f>
        <v>D27</v>
      </c>
      <c r="G189">
        <f>_xlfn.XLOOKUP(Table2[[#This Row],[Trigger]],SwitchButtons[switch],SwitchButtons[input])+Table2[[#This Row],[start]]</f>
        <v>0</v>
      </c>
      <c r="H189" t="s">
        <v>544</v>
      </c>
      <c r="I189" t="str">
        <f>_xlfn.XLOOKUP(Table2[[#This Row],[set1]],circuitoutputs[circuit],circuitoutputs[device])</f>
        <v>D29</v>
      </c>
      <c r="J189">
        <f>_xlfn.XLOOKUP(Table2[[#This Row],[set1]],circuitoutputs[circuit],circuitoutputs[output])</f>
        <v>0</v>
      </c>
      <c r="K189" t="s">
        <v>494</v>
      </c>
    </row>
    <row r="190" spans="1:12" hidden="1" x14ac:dyDescent="0.25">
      <c r="A190" t="s">
        <v>120</v>
      </c>
      <c r="B190" t="s">
        <v>193</v>
      </c>
      <c r="C190" cm="1">
        <f t="array" ref="C190">_xlfn.XLOOKUP(1,(LightSpec[Location]=Table2[[#This Row],[lookup Room]]) * (LightSpec[DiagNo]=Table2[[#This Row],[lookup Device]]), LightSpec[startinput])</f>
        <v>0</v>
      </c>
      <c r="D190" t="s">
        <v>445</v>
      </c>
      <c r="E190" t="s">
        <v>500</v>
      </c>
      <c r="F190" t="str" cm="1">
        <f t="array" aca="1" ref="F190" ca="1">_xlfn.LET(
  _xlpm.txt, _xlfn.XLOOKUP(1,(LightSpec[Location]=Table2[[#This Row],[lookup Room]]) * (LightSpec[DiagNo]=Table2[[#This Row],[lookup Device]]),LightSpec[From]),
  _xlpm.n, LEN(_xlpm.txt),
  _xlpm.pos, MATCH(FALSE, ISNUMBER(MID(_xlpm.txt, ROW(INDIRECT("2:" &amp; _xlpm.n)), 1)*1), 0),
  LEFT(_xlpm.txt, _xlpm.pos)
)</f>
        <v>D27</v>
      </c>
      <c r="G190">
        <f>_xlfn.XLOOKUP(Table2[[#This Row],[Trigger]],SwitchButtons[switch],SwitchButtons[input])+Table2[[#This Row],[start]]</f>
        <v>0</v>
      </c>
      <c r="H190" t="s">
        <v>576</v>
      </c>
      <c r="I190" t="str">
        <f>_xlfn.XLOOKUP(Table2[[#This Row],[set1]],circuitoutputs[circuit],circuitoutputs[device])</f>
        <v>D27</v>
      </c>
      <c r="J190">
        <f>_xlfn.XLOOKUP(Table2[[#This Row],[set1]],circuitoutputs[circuit],circuitoutputs[output])</f>
        <v>1</v>
      </c>
      <c r="K190" t="s">
        <v>494</v>
      </c>
    </row>
    <row r="191" spans="1:12" hidden="1" x14ac:dyDescent="0.25">
      <c r="A191" t="s">
        <v>120</v>
      </c>
      <c r="B191" t="s">
        <v>193</v>
      </c>
      <c r="C191" cm="1">
        <f t="array" ref="C191">_xlfn.XLOOKUP(1,(LightSpec[Location]=Table2[[#This Row],[lookup Room]]) * (LightSpec[DiagNo]=Table2[[#This Row],[lookup Device]]), LightSpec[startinput])</f>
        <v>0</v>
      </c>
      <c r="D191" t="s">
        <v>445</v>
      </c>
      <c r="E191" t="s">
        <v>503</v>
      </c>
      <c r="F191" t="str" cm="1">
        <f t="array" aca="1" ref="F191" ca="1">_xlfn.LET(
  _xlpm.txt, _xlfn.XLOOKUP(1,(LightSpec[Location]=Table2[[#This Row],[lookup Room]]) * (LightSpec[DiagNo]=Table2[[#This Row],[lookup Device]]),LightSpec[From]),
  _xlpm.n, LEN(_xlpm.txt),
  _xlpm.pos, MATCH(FALSE, ISNUMBER(MID(_xlpm.txt, ROW(INDIRECT("2:" &amp; _xlpm.n)), 1)*1), 0),
  LEFT(_xlpm.txt, _xlpm.pos)
)</f>
        <v>D27</v>
      </c>
      <c r="G191">
        <f>_xlfn.XLOOKUP(Table2[[#This Row],[Trigger]],SwitchButtons[switch],SwitchButtons[input])+Table2[[#This Row],[start]]</f>
        <v>0</v>
      </c>
      <c r="H191" t="s">
        <v>542</v>
      </c>
      <c r="I191" t="str">
        <f>_xlfn.XLOOKUP(Table2[[#This Row],[set1]],circuitoutputs[circuit],circuitoutputs[device])</f>
        <v>D27</v>
      </c>
      <c r="J191">
        <f>_xlfn.XLOOKUP(Table2[[#This Row],[set1]],circuitoutputs[circuit],circuitoutputs[output])</f>
        <v>0</v>
      </c>
      <c r="K191" t="s">
        <v>596</v>
      </c>
    </row>
    <row r="192" spans="1:12" hidden="1" x14ac:dyDescent="0.25">
      <c r="A192" t="s">
        <v>120</v>
      </c>
      <c r="B192" t="s">
        <v>193</v>
      </c>
      <c r="C192" cm="1">
        <f t="array" ref="C192">_xlfn.XLOOKUP(1,(LightSpec[Location]=Table2[[#This Row],[lookup Room]]) * (LightSpec[DiagNo]=Table2[[#This Row],[lookup Device]]), LightSpec[startinput])</f>
        <v>0</v>
      </c>
      <c r="D192" t="s">
        <v>445</v>
      </c>
      <c r="E192" t="s">
        <v>503</v>
      </c>
      <c r="F192" t="str" cm="1">
        <f t="array" aca="1" ref="F192" ca="1">_xlfn.LET(
  _xlpm.txt, _xlfn.XLOOKUP(1,(LightSpec[Location]=Table2[[#This Row],[lookup Room]]) * (LightSpec[DiagNo]=Table2[[#This Row],[lookup Device]]),LightSpec[From]),
  _xlpm.n, LEN(_xlpm.txt),
  _xlpm.pos, MATCH(FALSE, ISNUMBER(MID(_xlpm.txt, ROW(INDIRECT("2:" &amp; _xlpm.n)), 1)*1), 0),
  LEFT(_xlpm.txt, _xlpm.pos)
)</f>
        <v>D27</v>
      </c>
      <c r="G192">
        <f>_xlfn.XLOOKUP(Table2[[#This Row],[Trigger]],SwitchButtons[switch],SwitchButtons[input])+Table2[[#This Row],[start]]</f>
        <v>0</v>
      </c>
      <c r="H192" t="s">
        <v>544</v>
      </c>
      <c r="I192" t="str">
        <f>_xlfn.XLOOKUP(Table2[[#This Row],[set1]],circuitoutputs[circuit],circuitoutputs[device])</f>
        <v>D29</v>
      </c>
      <c r="J192">
        <f>_xlfn.XLOOKUP(Table2[[#This Row],[set1]],circuitoutputs[circuit],circuitoutputs[output])</f>
        <v>0</v>
      </c>
      <c r="K192" t="s">
        <v>596</v>
      </c>
    </row>
    <row r="193" spans="1:11" hidden="1" x14ac:dyDescent="0.25">
      <c r="A193" t="s">
        <v>120</v>
      </c>
      <c r="B193" t="s">
        <v>193</v>
      </c>
      <c r="C193" cm="1">
        <f t="array" ref="C193">_xlfn.XLOOKUP(1,(LightSpec[Location]=Table2[[#This Row],[lookup Room]]) * (LightSpec[DiagNo]=Table2[[#This Row],[lookup Device]]), LightSpec[startinput])</f>
        <v>0</v>
      </c>
      <c r="D193" t="s">
        <v>445</v>
      </c>
      <c r="E193" t="s">
        <v>503</v>
      </c>
      <c r="F193" t="str" cm="1">
        <f t="array" aca="1" ref="F193" ca="1">_xlfn.LET(
  _xlpm.txt, _xlfn.XLOOKUP(1,(LightSpec[Location]=Table2[[#This Row],[lookup Room]]) * (LightSpec[DiagNo]=Table2[[#This Row],[lookup Device]]),LightSpec[From]),
  _xlpm.n, LEN(_xlpm.txt),
  _xlpm.pos, MATCH(FALSE, ISNUMBER(MID(_xlpm.txt, ROW(INDIRECT("2:" &amp; _xlpm.n)), 1)*1), 0),
  LEFT(_xlpm.txt, _xlpm.pos)
)</f>
        <v>D27</v>
      </c>
      <c r="G193">
        <f>_xlfn.XLOOKUP(Table2[[#This Row],[Trigger]],SwitchButtons[switch],SwitchButtons[input])+Table2[[#This Row],[start]]</f>
        <v>0</v>
      </c>
      <c r="H193" t="s">
        <v>576</v>
      </c>
      <c r="I193" t="str">
        <f>_xlfn.XLOOKUP(Table2[[#This Row],[set1]],circuitoutputs[circuit],circuitoutputs[device])</f>
        <v>D27</v>
      </c>
      <c r="J193">
        <f>_xlfn.XLOOKUP(Table2[[#This Row],[set1]],circuitoutputs[circuit],circuitoutputs[output])</f>
        <v>1</v>
      </c>
      <c r="K193" t="s">
        <v>596</v>
      </c>
    </row>
    <row r="194" spans="1:11" hidden="1" x14ac:dyDescent="0.25">
      <c r="A194" t="s">
        <v>120</v>
      </c>
      <c r="B194" t="s">
        <v>193</v>
      </c>
      <c r="C194" cm="1">
        <f t="array" ref="C194">_xlfn.XLOOKUP(1,(LightSpec[Location]=Table2[[#This Row],[lookup Room]]) * (LightSpec[DiagNo]=Table2[[#This Row],[lookup Device]]), LightSpec[startinput])</f>
        <v>0</v>
      </c>
      <c r="D194" t="s">
        <v>446</v>
      </c>
      <c r="E194" t="s">
        <v>500</v>
      </c>
      <c r="F194" t="str" cm="1">
        <f t="array" aca="1" ref="F194" ca="1">_xlfn.LET(
  _xlpm.txt, _xlfn.XLOOKUP(1,(LightSpec[Location]=Table2[[#This Row],[lookup Room]]) * (LightSpec[DiagNo]=Table2[[#This Row],[lookup Device]]),LightSpec[From]),
  _xlpm.n, LEN(_xlpm.txt),
  _xlpm.pos, MATCH(FALSE, ISNUMBER(MID(_xlpm.txt, ROW(INDIRECT("2:" &amp; _xlpm.n)), 1)*1), 0),
  LEFT(_xlpm.txt, _xlpm.pos)
)</f>
        <v>D27</v>
      </c>
      <c r="G194">
        <f>_xlfn.XLOOKUP(Table2[[#This Row],[Trigger]],SwitchButtons[switch],SwitchButtons[input])+Table2[[#This Row],[start]]</f>
        <v>1</v>
      </c>
      <c r="H194" t="s">
        <v>542</v>
      </c>
      <c r="I194" t="str">
        <f>_xlfn.XLOOKUP(Table2[[#This Row],[set1]],circuitoutputs[circuit],circuitoutputs[device])</f>
        <v>D27</v>
      </c>
      <c r="J194">
        <f>_xlfn.XLOOKUP(Table2[[#This Row],[set1]],circuitoutputs[circuit],circuitoutputs[output])</f>
        <v>0</v>
      </c>
      <c r="K194" t="s">
        <v>495</v>
      </c>
    </row>
    <row r="195" spans="1:11" hidden="1" x14ac:dyDescent="0.25">
      <c r="A195" t="s">
        <v>120</v>
      </c>
      <c r="B195" t="s">
        <v>193</v>
      </c>
      <c r="C195" cm="1">
        <f t="array" ref="C195">_xlfn.XLOOKUP(1,(LightSpec[Location]=Table2[[#This Row],[lookup Room]]) * (LightSpec[DiagNo]=Table2[[#This Row],[lookup Device]]), LightSpec[startinput])</f>
        <v>0</v>
      </c>
      <c r="D195" t="s">
        <v>446</v>
      </c>
      <c r="E195" t="s">
        <v>500</v>
      </c>
      <c r="F195" t="str" cm="1">
        <f t="array" aca="1" ref="F195" ca="1">_xlfn.LET(
  _xlpm.txt, _xlfn.XLOOKUP(1,(LightSpec[Location]=Table2[[#This Row],[lookup Room]]) * (LightSpec[DiagNo]=Table2[[#This Row],[lookup Device]]),LightSpec[From]),
  _xlpm.n, LEN(_xlpm.txt),
  _xlpm.pos, MATCH(FALSE, ISNUMBER(MID(_xlpm.txt, ROW(INDIRECT("2:" &amp; _xlpm.n)), 1)*1), 0),
  LEFT(_xlpm.txt, _xlpm.pos)
)</f>
        <v>D27</v>
      </c>
      <c r="G195">
        <f>_xlfn.XLOOKUP(Table2[[#This Row],[Trigger]],SwitchButtons[switch],SwitchButtons[input])+Table2[[#This Row],[start]]</f>
        <v>1</v>
      </c>
      <c r="H195" t="s">
        <v>544</v>
      </c>
      <c r="I195" t="str">
        <f>_xlfn.XLOOKUP(Table2[[#This Row],[set1]],circuitoutputs[circuit],circuitoutputs[device])</f>
        <v>D29</v>
      </c>
      <c r="J195">
        <f>_xlfn.XLOOKUP(Table2[[#This Row],[set1]],circuitoutputs[circuit],circuitoutputs[output])</f>
        <v>0</v>
      </c>
      <c r="K195" t="s">
        <v>495</v>
      </c>
    </row>
    <row r="196" spans="1:11" hidden="1" x14ac:dyDescent="0.25">
      <c r="A196" t="s">
        <v>120</v>
      </c>
      <c r="B196" t="s">
        <v>193</v>
      </c>
      <c r="C196" cm="1">
        <f t="array" ref="C196">_xlfn.XLOOKUP(1,(LightSpec[Location]=Table2[[#This Row],[lookup Room]]) * (LightSpec[DiagNo]=Table2[[#This Row],[lookup Device]]), LightSpec[startinput])</f>
        <v>0</v>
      </c>
      <c r="D196" t="s">
        <v>446</v>
      </c>
      <c r="E196" t="s">
        <v>500</v>
      </c>
      <c r="F196" t="str" cm="1">
        <f t="array" aca="1" ref="F196" ca="1">_xlfn.LET(
  _xlpm.txt, _xlfn.XLOOKUP(1,(LightSpec[Location]=Table2[[#This Row],[lookup Room]]) * (LightSpec[DiagNo]=Table2[[#This Row],[lookup Device]]),LightSpec[From]),
  _xlpm.n, LEN(_xlpm.txt),
  _xlpm.pos, MATCH(FALSE, ISNUMBER(MID(_xlpm.txt, ROW(INDIRECT("2:" &amp; _xlpm.n)), 1)*1), 0),
  LEFT(_xlpm.txt, _xlpm.pos)
)</f>
        <v>D27</v>
      </c>
      <c r="G196">
        <f>_xlfn.XLOOKUP(Table2[[#This Row],[Trigger]],SwitchButtons[switch],SwitchButtons[input])+Table2[[#This Row],[start]]</f>
        <v>1</v>
      </c>
      <c r="H196" t="s">
        <v>576</v>
      </c>
      <c r="I196" t="str">
        <f>_xlfn.XLOOKUP(Table2[[#This Row],[set1]],circuitoutputs[circuit],circuitoutputs[device])</f>
        <v>D27</v>
      </c>
      <c r="J196">
        <f>_xlfn.XLOOKUP(Table2[[#This Row],[set1]],circuitoutputs[circuit],circuitoutputs[output])</f>
        <v>1</v>
      </c>
      <c r="K196" t="s">
        <v>495</v>
      </c>
    </row>
    <row r="197" spans="1:11" hidden="1" x14ac:dyDescent="0.25">
      <c r="A197" t="s">
        <v>120</v>
      </c>
      <c r="B197" t="s">
        <v>193</v>
      </c>
      <c r="C197" cm="1">
        <f t="array" ref="C197">_xlfn.XLOOKUP(1,(LightSpec[Location]=Table2[[#This Row],[lookup Room]]) * (LightSpec[DiagNo]=Table2[[#This Row],[lookup Device]]), LightSpec[startinput])</f>
        <v>0</v>
      </c>
      <c r="D197" t="s">
        <v>447</v>
      </c>
      <c r="E197" t="s">
        <v>500</v>
      </c>
      <c r="F197" t="str" cm="1">
        <f t="array" aca="1" ref="F197" ca="1">_xlfn.LET(
  _xlpm.txt, _xlfn.XLOOKUP(1,(LightSpec[Location]=Table2[[#This Row],[lookup Room]]) * (LightSpec[DiagNo]=Table2[[#This Row],[lookup Device]]),LightSpec[From]),
  _xlpm.n, LEN(_xlpm.txt),
  _xlpm.pos, MATCH(FALSE, ISNUMBER(MID(_xlpm.txt, ROW(INDIRECT("2:" &amp; _xlpm.n)), 1)*1), 0),
  LEFT(_xlpm.txt, _xlpm.pos)
)</f>
        <v>D27</v>
      </c>
      <c r="G197">
        <f>_xlfn.XLOOKUP(Table2[[#This Row],[Trigger]],SwitchButtons[switch],SwitchButtons[input])+Table2[[#This Row],[start]]</f>
        <v>2</v>
      </c>
      <c r="H197" t="s">
        <v>543</v>
      </c>
      <c r="I197" t="str">
        <f>_xlfn.XLOOKUP(Table2[[#This Row],[set1]],circuitoutputs[circuit],circuitoutputs[device])</f>
        <v>D28</v>
      </c>
      <c r="J197">
        <f>_xlfn.XLOOKUP(Table2[[#This Row],[set1]],circuitoutputs[circuit],circuitoutputs[output])</f>
        <v>0</v>
      </c>
      <c r="K197" t="s">
        <v>494</v>
      </c>
    </row>
    <row r="198" spans="1:11" hidden="1" x14ac:dyDescent="0.25">
      <c r="A198" t="s">
        <v>120</v>
      </c>
      <c r="B198" t="s">
        <v>193</v>
      </c>
      <c r="C198" cm="1">
        <f t="array" ref="C198">_xlfn.XLOOKUP(1,(LightSpec[Location]=Table2[[#This Row],[lookup Room]]) * (LightSpec[DiagNo]=Table2[[#This Row],[lookup Device]]), LightSpec[startinput])</f>
        <v>0</v>
      </c>
      <c r="D198" t="s">
        <v>447</v>
      </c>
      <c r="E198" t="s">
        <v>500</v>
      </c>
      <c r="F198" t="str" cm="1">
        <f t="array" aca="1" ref="F198" ca="1">_xlfn.LET(
  _xlpm.txt, _xlfn.XLOOKUP(1,(LightSpec[Location]=Table2[[#This Row],[lookup Room]]) * (LightSpec[DiagNo]=Table2[[#This Row],[lookup Device]]),LightSpec[From]),
  _xlpm.n, LEN(_xlpm.txt),
  _xlpm.pos, MATCH(FALSE, ISNUMBER(MID(_xlpm.txt, ROW(INDIRECT("2:" &amp; _xlpm.n)), 1)*1), 0),
  LEFT(_xlpm.txt, _xlpm.pos)
)</f>
        <v>D27</v>
      </c>
      <c r="G198">
        <f>_xlfn.XLOOKUP(Table2[[#This Row],[Trigger]],SwitchButtons[switch],SwitchButtons[input])+Table2[[#This Row],[start]]</f>
        <v>2</v>
      </c>
      <c r="H198" t="s">
        <v>515</v>
      </c>
      <c r="I198" t="str">
        <f>_xlfn.XLOOKUP(Table2[[#This Row],[set1]],circuitoutputs[circuit],circuitoutputs[device])</f>
        <v>P6</v>
      </c>
      <c r="J198">
        <f>_xlfn.XLOOKUP(Table2[[#This Row],[set1]],circuitoutputs[circuit],circuitoutputs[output])</f>
        <v>0</v>
      </c>
      <c r="K198" t="s">
        <v>494</v>
      </c>
    </row>
    <row r="199" spans="1:11" hidden="1" x14ac:dyDescent="0.25">
      <c r="A199" t="s">
        <v>120</v>
      </c>
      <c r="B199" t="s">
        <v>193</v>
      </c>
      <c r="C199" cm="1">
        <f t="array" ref="C199">_xlfn.XLOOKUP(1,(LightSpec[Location]=Table2[[#This Row],[lookup Room]]) * (LightSpec[DiagNo]=Table2[[#This Row],[lookup Device]]), LightSpec[startinput])</f>
        <v>0</v>
      </c>
      <c r="D199" t="s">
        <v>447</v>
      </c>
      <c r="E199" t="s">
        <v>500</v>
      </c>
      <c r="F199" t="str" cm="1">
        <f t="array" aca="1" ref="F199" ca="1">_xlfn.LET(
  _xlpm.txt, _xlfn.XLOOKUP(1,(LightSpec[Location]=Table2[[#This Row],[lookup Room]]) * (LightSpec[DiagNo]=Table2[[#This Row],[lookup Device]]),LightSpec[From]),
  _xlpm.n, LEN(_xlpm.txt),
  _xlpm.pos, MATCH(FALSE, ISNUMBER(MID(_xlpm.txt, ROW(INDIRECT("2:" &amp; _xlpm.n)), 1)*1), 0),
  LEFT(_xlpm.txt, _xlpm.pos)
)</f>
        <v>D27</v>
      </c>
      <c r="G199">
        <f>_xlfn.XLOOKUP(Table2[[#This Row],[Trigger]],SwitchButtons[switch],SwitchButtons[input])+Table2[[#This Row],[start]]</f>
        <v>2</v>
      </c>
      <c r="H199" t="s">
        <v>552</v>
      </c>
      <c r="I199" t="str">
        <f>_xlfn.XLOOKUP(Table2[[#This Row],[set1]],circuitoutputs[circuit],circuitoutputs[device])</f>
        <v>P6</v>
      </c>
      <c r="J199">
        <f>_xlfn.XLOOKUP(Table2[[#This Row],[set1]],circuitoutputs[circuit],circuitoutputs[output])</f>
        <v>1</v>
      </c>
      <c r="K199" t="s">
        <v>494</v>
      </c>
    </row>
    <row r="200" spans="1:11" hidden="1" x14ac:dyDescent="0.25">
      <c r="A200" t="s">
        <v>120</v>
      </c>
      <c r="B200" t="s">
        <v>193</v>
      </c>
      <c r="C200" cm="1">
        <f t="array" ref="C200">_xlfn.XLOOKUP(1,(LightSpec[Location]=Table2[[#This Row],[lookup Room]]) * (LightSpec[DiagNo]=Table2[[#This Row],[lookup Device]]), LightSpec[startinput])</f>
        <v>0</v>
      </c>
      <c r="D200" t="s">
        <v>447</v>
      </c>
      <c r="E200" t="s">
        <v>500</v>
      </c>
      <c r="F200" t="str" cm="1">
        <f t="array" aca="1" ref="F200" ca="1">_xlfn.LET(
  _xlpm.txt, _xlfn.XLOOKUP(1,(LightSpec[Location]=Table2[[#This Row],[lookup Room]]) * (LightSpec[DiagNo]=Table2[[#This Row],[lookup Device]]),LightSpec[From]),
  _xlpm.n, LEN(_xlpm.txt),
  _xlpm.pos, MATCH(FALSE, ISNUMBER(MID(_xlpm.txt, ROW(INDIRECT("2:" &amp; _xlpm.n)), 1)*1), 0),
  LEFT(_xlpm.txt, _xlpm.pos)
)</f>
        <v>D27</v>
      </c>
      <c r="G200">
        <f>_xlfn.XLOOKUP(Table2[[#This Row],[Trigger]],SwitchButtons[switch],SwitchButtons[input])+Table2[[#This Row],[start]]</f>
        <v>2</v>
      </c>
      <c r="H200" t="s">
        <v>581</v>
      </c>
      <c r="I200" t="str">
        <f>_xlfn.XLOOKUP(Table2[[#This Row],[set1]],circuitoutputs[circuit],circuitoutputs[device])</f>
        <v>P6</v>
      </c>
      <c r="J200">
        <f>_xlfn.XLOOKUP(Table2[[#This Row],[set1]],circuitoutputs[circuit],circuitoutputs[output])</f>
        <v>2</v>
      </c>
      <c r="K200" t="s">
        <v>494</v>
      </c>
    </row>
    <row r="201" spans="1:11" hidden="1" x14ac:dyDescent="0.25">
      <c r="A201" t="s">
        <v>120</v>
      </c>
      <c r="B201" t="s">
        <v>193</v>
      </c>
      <c r="C201" cm="1">
        <f t="array" ref="C201">_xlfn.XLOOKUP(1,(LightSpec[Location]=Table2[[#This Row],[lookup Room]]) * (LightSpec[DiagNo]=Table2[[#This Row],[lookup Device]]), LightSpec[startinput])</f>
        <v>0</v>
      </c>
      <c r="D201" t="s">
        <v>447</v>
      </c>
      <c r="E201" t="s">
        <v>503</v>
      </c>
      <c r="F201" t="str" cm="1">
        <f t="array" aca="1" ref="F201" ca="1">_xlfn.LET(
  _xlpm.txt, _xlfn.XLOOKUP(1,(LightSpec[Location]=Table2[[#This Row],[lookup Room]]) * (LightSpec[DiagNo]=Table2[[#This Row],[lookup Device]]),LightSpec[From]),
  _xlpm.n, LEN(_xlpm.txt),
  _xlpm.pos, MATCH(FALSE, ISNUMBER(MID(_xlpm.txt, ROW(INDIRECT("2:" &amp; _xlpm.n)), 1)*1), 0),
  LEFT(_xlpm.txt, _xlpm.pos)
)</f>
        <v>D27</v>
      </c>
      <c r="G201">
        <f>_xlfn.XLOOKUP(Table2[[#This Row],[Trigger]],SwitchButtons[switch],SwitchButtons[input])+Table2[[#This Row],[start]]</f>
        <v>2</v>
      </c>
      <c r="H201" t="s">
        <v>543</v>
      </c>
      <c r="I201" t="str">
        <f>_xlfn.XLOOKUP(Table2[[#This Row],[set1]],circuitoutputs[circuit],circuitoutputs[device])</f>
        <v>D28</v>
      </c>
      <c r="J201">
        <f>_xlfn.XLOOKUP(Table2[[#This Row],[set1]],circuitoutputs[circuit],circuitoutputs[output])</f>
        <v>0</v>
      </c>
      <c r="K201" t="s">
        <v>596</v>
      </c>
    </row>
    <row r="202" spans="1:11" hidden="1" x14ac:dyDescent="0.25">
      <c r="A202" t="s">
        <v>120</v>
      </c>
      <c r="B202" t="s">
        <v>193</v>
      </c>
      <c r="C202" cm="1">
        <f t="array" ref="C202">_xlfn.XLOOKUP(1,(LightSpec[Location]=Table2[[#This Row],[lookup Room]]) * (LightSpec[DiagNo]=Table2[[#This Row],[lookup Device]]), LightSpec[startinput])</f>
        <v>0</v>
      </c>
      <c r="D202" t="s">
        <v>447</v>
      </c>
      <c r="E202" t="s">
        <v>503</v>
      </c>
      <c r="F202" t="str" cm="1">
        <f t="array" aca="1" ref="F202" ca="1">_xlfn.LET(
  _xlpm.txt, _xlfn.XLOOKUP(1,(LightSpec[Location]=Table2[[#This Row],[lookup Room]]) * (LightSpec[DiagNo]=Table2[[#This Row],[lookup Device]]),LightSpec[From]),
  _xlpm.n, LEN(_xlpm.txt),
  _xlpm.pos, MATCH(FALSE, ISNUMBER(MID(_xlpm.txt, ROW(INDIRECT("2:" &amp; _xlpm.n)), 1)*1), 0),
  LEFT(_xlpm.txt, _xlpm.pos)
)</f>
        <v>D27</v>
      </c>
      <c r="G202">
        <f>_xlfn.XLOOKUP(Table2[[#This Row],[Trigger]],SwitchButtons[switch],SwitchButtons[input])+Table2[[#This Row],[start]]</f>
        <v>2</v>
      </c>
      <c r="H202" t="s">
        <v>515</v>
      </c>
      <c r="I202" t="str">
        <f>_xlfn.XLOOKUP(Table2[[#This Row],[set1]],circuitoutputs[circuit],circuitoutputs[device])</f>
        <v>P6</v>
      </c>
      <c r="J202">
        <f>_xlfn.XLOOKUP(Table2[[#This Row],[set1]],circuitoutputs[circuit],circuitoutputs[output])</f>
        <v>0</v>
      </c>
      <c r="K202" t="s">
        <v>596</v>
      </c>
    </row>
    <row r="203" spans="1:11" hidden="1" x14ac:dyDescent="0.25">
      <c r="A203" t="s">
        <v>120</v>
      </c>
      <c r="B203" t="s">
        <v>193</v>
      </c>
      <c r="C203" cm="1">
        <f t="array" ref="C203">_xlfn.XLOOKUP(1,(LightSpec[Location]=Table2[[#This Row],[lookup Room]]) * (LightSpec[DiagNo]=Table2[[#This Row],[lookup Device]]), LightSpec[startinput])</f>
        <v>0</v>
      </c>
      <c r="D203" t="s">
        <v>447</v>
      </c>
      <c r="E203" t="s">
        <v>503</v>
      </c>
      <c r="F203" t="str" cm="1">
        <f t="array" aca="1" ref="F203" ca="1">_xlfn.LET(
  _xlpm.txt, _xlfn.XLOOKUP(1,(LightSpec[Location]=Table2[[#This Row],[lookup Room]]) * (LightSpec[DiagNo]=Table2[[#This Row],[lookup Device]]),LightSpec[From]),
  _xlpm.n, LEN(_xlpm.txt),
  _xlpm.pos, MATCH(FALSE, ISNUMBER(MID(_xlpm.txt, ROW(INDIRECT("2:" &amp; _xlpm.n)), 1)*1), 0),
  LEFT(_xlpm.txt, _xlpm.pos)
)</f>
        <v>D27</v>
      </c>
      <c r="G203">
        <f>_xlfn.XLOOKUP(Table2[[#This Row],[Trigger]],SwitchButtons[switch],SwitchButtons[input])+Table2[[#This Row],[start]]</f>
        <v>2</v>
      </c>
      <c r="H203" t="s">
        <v>552</v>
      </c>
      <c r="I203" t="str">
        <f>_xlfn.XLOOKUP(Table2[[#This Row],[set1]],circuitoutputs[circuit],circuitoutputs[device])</f>
        <v>P6</v>
      </c>
      <c r="J203">
        <f>_xlfn.XLOOKUP(Table2[[#This Row],[set1]],circuitoutputs[circuit],circuitoutputs[output])</f>
        <v>1</v>
      </c>
      <c r="K203" t="s">
        <v>596</v>
      </c>
    </row>
    <row r="204" spans="1:11" hidden="1" x14ac:dyDescent="0.25">
      <c r="A204" t="s">
        <v>120</v>
      </c>
      <c r="B204" t="s">
        <v>193</v>
      </c>
      <c r="C204" cm="1">
        <f t="array" ref="C204">_xlfn.XLOOKUP(1,(LightSpec[Location]=Table2[[#This Row],[lookup Room]]) * (LightSpec[DiagNo]=Table2[[#This Row],[lookup Device]]), LightSpec[startinput])</f>
        <v>0</v>
      </c>
      <c r="D204" t="s">
        <v>447</v>
      </c>
      <c r="E204" t="s">
        <v>503</v>
      </c>
      <c r="F204" t="str" cm="1">
        <f t="array" aca="1" ref="F204" ca="1">_xlfn.LET(
  _xlpm.txt, _xlfn.XLOOKUP(1,(LightSpec[Location]=Table2[[#This Row],[lookup Room]]) * (LightSpec[DiagNo]=Table2[[#This Row],[lookup Device]]),LightSpec[From]),
  _xlpm.n, LEN(_xlpm.txt),
  _xlpm.pos, MATCH(FALSE, ISNUMBER(MID(_xlpm.txt, ROW(INDIRECT("2:" &amp; _xlpm.n)), 1)*1), 0),
  LEFT(_xlpm.txt, _xlpm.pos)
)</f>
        <v>D27</v>
      </c>
      <c r="G204">
        <f>_xlfn.XLOOKUP(Table2[[#This Row],[Trigger]],SwitchButtons[switch],SwitchButtons[input])+Table2[[#This Row],[start]]</f>
        <v>2</v>
      </c>
      <c r="H204" t="s">
        <v>581</v>
      </c>
      <c r="I204" t="str">
        <f>_xlfn.XLOOKUP(Table2[[#This Row],[set1]],circuitoutputs[circuit],circuitoutputs[device])</f>
        <v>P6</v>
      </c>
      <c r="J204">
        <f>_xlfn.XLOOKUP(Table2[[#This Row],[set1]],circuitoutputs[circuit],circuitoutputs[output])</f>
        <v>2</v>
      </c>
      <c r="K204" t="s">
        <v>596</v>
      </c>
    </row>
    <row r="205" spans="1:11" hidden="1" x14ac:dyDescent="0.25">
      <c r="A205" t="s">
        <v>120</v>
      </c>
      <c r="B205" t="s">
        <v>193</v>
      </c>
      <c r="C205" cm="1">
        <f t="array" ref="C205">_xlfn.XLOOKUP(1,(LightSpec[Location]=Table2[[#This Row],[lookup Room]]) * (LightSpec[DiagNo]=Table2[[#This Row],[lookup Device]]), LightSpec[startinput])</f>
        <v>0</v>
      </c>
      <c r="D205" t="s">
        <v>448</v>
      </c>
      <c r="E205" t="s">
        <v>500</v>
      </c>
      <c r="F205" t="str" cm="1">
        <f t="array" aca="1" ref="F205" ca="1">_xlfn.LET(
  _xlpm.txt, _xlfn.XLOOKUP(1,(LightSpec[Location]=Table2[[#This Row],[lookup Room]]) * (LightSpec[DiagNo]=Table2[[#This Row],[lookup Device]]),LightSpec[From]),
  _xlpm.n, LEN(_xlpm.txt),
  _xlpm.pos, MATCH(FALSE, ISNUMBER(MID(_xlpm.txt, ROW(INDIRECT("2:" &amp; _xlpm.n)), 1)*1), 0),
  LEFT(_xlpm.txt, _xlpm.pos)
)</f>
        <v>D27</v>
      </c>
      <c r="G205">
        <f>_xlfn.XLOOKUP(Table2[[#This Row],[Trigger]],SwitchButtons[switch],SwitchButtons[input])+Table2[[#This Row],[start]]</f>
        <v>3</v>
      </c>
      <c r="H205" t="s">
        <v>543</v>
      </c>
      <c r="I205" t="str">
        <f>_xlfn.XLOOKUP(Table2[[#This Row],[set1]],circuitoutputs[circuit],circuitoutputs[device])</f>
        <v>D28</v>
      </c>
      <c r="J205">
        <f>_xlfn.XLOOKUP(Table2[[#This Row],[set1]],circuitoutputs[circuit],circuitoutputs[output])</f>
        <v>0</v>
      </c>
      <c r="K205" t="s">
        <v>495</v>
      </c>
    </row>
    <row r="206" spans="1:11" hidden="1" x14ac:dyDescent="0.25">
      <c r="A206" t="s">
        <v>120</v>
      </c>
      <c r="B206" t="s">
        <v>193</v>
      </c>
      <c r="C206" cm="1">
        <f t="array" ref="C206">_xlfn.XLOOKUP(1,(LightSpec[Location]=Table2[[#This Row],[lookup Room]]) * (LightSpec[DiagNo]=Table2[[#This Row],[lookup Device]]), LightSpec[startinput])</f>
        <v>0</v>
      </c>
      <c r="D206" t="s">
        <v>448</v>
      </c>
      <c r="E206" t="s">
        <v>500</v>
      </c>
      <c r="F206" t="str" cm="1">
        <f t="array" aca="1" ref="F206" ca="1">_xlfn.LET(
  _xlpm.txt, _xlfn.XLOOKUP(1,(LightSpec[Location]=Table2[[#This Row],[lookup Room]]) * (LightSpec[DiagNo]=Table2[[#This Row],[lookup Device]]),LightSpec[From]),
  _xlpm.n, LEN(_xlpm.txt),
  _xlpm.pos, MATCH(FALSE, ISNUMBER(MID(_xlpm.txt, ROW(INDIRECT("2:" &amp; _xlpm.n)), 1)*1), 0),
  LEFT(_xlpm.txt, _xlpm.pos)
)</f>
        <v>D27</v>
      </c>
      <c r="G206">
        <f>_xlfn.XLOOKUP(Table2[[#This Row],[Trigger]],SwitchButtons[switch],SwitchButtons[input])+Table2[[#This Row],[start]]</f>
        <v>3</v>
      </c>
      <c r="H206" t="s">
        <v>515</v>
      </c>
      <c r="I206" t="str">
        <f>_xlfn.XLOOKUP(Table2[[#This Row],[set1]],circuitoutputs[circuit],circuitoutputs[device])</f>
        <v>P6</v>
      </c>
      <c r="J206">
        <f>_xlfn.XLOOKUP(Table2[[#This Row],[set1]],circuitoutputs[circuit],circuitoutputs[output])</f>
        <v>0</v>
      </c>
      <c r="K206" t="s">
        <v>495</v>
      </c>
    </row>
    <row r="207" spans="1:11" hidden="1" x14ac:dyDescent="0.25">
      <c r="A207" t="s">
        <v>120</v>
      </c>
      <c r="B207" t="s">
        <v>193</v>
      </c>
      <c r="C207" cm="1">
        <f t="array" ref="C207">_xlfn.XLOOKUP(1,(LightSpec[Location]=Table2[[#This Row],[lookup Room]]) * (LightSpec[DiagNo]=Table2[[#This Row],[lookup Device]]), LightSpec[startinput])</f>
        <v>0</v>
      </c>
      <c r="D207" t="s">
        <v>448</v>
      </c>
      <c r="E207" t="s">
        <v>500</v>
      </c>
      <c r="F207" t="str" cm="1">
        <f t="array" aca="1" ref="F207" ca="1">_xlfn.LET(
  _xlpm.txt, _xlfn.XLOOKUP(1,(LightSpec[Location]=Table2[[#This Row],[lookup Room]]) * (LightSpec[DiagNo]=Table2[[#This Row],[lookup Device]]),LightSpec[From]),
  _xlpm.n, LEN(_xlpm.txt),
  _xlpm.pos, MATCH(FALSE, ISNUMBER(MID(_xlpm.txt, ROW(INDIRECT("2:" &amp; _xlpm.n)), 1)*1), 0),
  LEFT(_xlpm.txt, _xlpm.pos)
)</f>
        <v>D27</v>
      </c>
      <c r="G207">
        <f>_xlfn.XLOOKUP(Table2[[#This Row],[Trigger]],SwitchButtons[switch],SwitchButtons[input])+Table2[[#This Row],[start]]</f>
        <v>3</v>
      </c>
      <c r="H207" t="s">
        <v>552</v>
      </c>
      <c r="I207" t="str">
        <f>_xlfn.XLOOKUP(Table2[[#This Row],[set1]],circuitoutputs[circuit],circuitoutputs[device])</f>
        <v>P6</v>
      </c>
      <c r="J207">
        <f>_xlfn.XLOOKUP(Table2[[#This Row],[set1]],circuitoutputs[circuit],circuitoutputs[output])</f>
        <v>1</v>
      </c>
      <c r="K207" t="s">
        <v>495</v>
      </c>
    </row>
    <row r="208" spans="1:11" hidden="1" x14ac:dyDescent="0.25">
      <c r="A208" t="s">
        <v>120</v>
      </c>
      <c r="B208" t="s">
        <v>193</v>
      </c>
      <c r="C208" cm="1">
        <f t="array" ref="C208">_xlfn.XLOOKUP(1,(LightSpec[Location]=Table2[[#This Row],[lookup Room]]) * (LightSpec[DiagNo]=Table2[[#This Row],[lookup Device]]), LightSpec[startinput])</f>
        <v>0</v>
      </c>
      <c r="D208" t="s">
        <v>448</v>
      </c>
      <c r="E208" t="s">
        <v>500</v>
      </c>
      <c r="F208" t="str" cm="1">
        <f t="array" aca="1" ref="F208" ca="1">_xlfn.LET(
  _xlpm.txt, _xlfn.XLOOKUP(1,(LightSpec[Location]=Table2[[#This Row],[lookup Room]]) * (LightSpec[DiagNo]=Table2[[#This Row],[lookup Device]]),LightSpec[From]),
  _xlpm.n, LEN(_xlpm.txt),
  _xlpm.pos, MATCH(FALSE, ISNUMBER(MID(_xlpm.txt, ROW(INDIRECT("2:" &amp; _xlpm.n)), 1)*1), 0),
  LEFT(_xlpm.txt, _xlpm.pos)
)</f>
        <v>D27</v>
      </c>
      <c r="G208">
        <f>_xlfn.XLOOKUP(Table2[[#This Row],[Trigger]],SwitchButtons[switch],SwitchButtons[input])+Table2[[#This Row],[start]]</f>
        <v>3</v>
      </c>
      <c r="H208" t="s">
        <v>581</v>
      </c>
      <c r="I208" t="str">
        <f>_xlfn.XLOOKUP(Table2[[#This Row],[set1]],circuitoutputs[circuit],circuitoutputs[device])</f>
        <v>P6</v>
      </c>
      <c r="J208">
        <f>_xlfn.XLOOKUP(Table2[[#This Row],[set1]],circuitoutputs[circuit],circuitoutputs[output])</f>
        <v>2</v>
      </c>
      <c r="K208" t="s">
        <v>495</v>
      </c>
    </row>
    <row r="209" spans="1:11" hidden="1" x14ac:dyDescent="0.25">
      <c r="A209" t="s">
        <v>119</v>
      </c>
      <c r="B209" t="s">
        <v>251</v>
      </c>
      <c r="C209" cm="1">
        <f t="array" ref="C209">_xlfn.XLOOKUP(1,(LightSpec[Location]=Table2[[#This Row],[lookup Room]]) * (LightSpec[DiagNo]=Table2[[#This Row],[lookup Device]]), LightSpec[startinput])</f>
        <v>0</v>
      </c>
      <c r="D209" t="s">
        <v>508</v>
      </c>
      <c r="E209" t="s">
        <v>588</v>
      </c>
      <c r="F209" t="str" cm="1">
        <f t="array" aca="1" ref="F209" ca="1">_xlfn.LET(
  _xlpm.txt, _xlfn.XLOOKUP(1,(LightSpec[Location]=Table2[[#This Row],[lookup Room]]) * (LightSpec[DiagNo]=Table2[[#This Row],[lookup Device]]),LightSpec[From]),
  _xlpm.n, LEN(_xlpm.txt),
  _xlpm.pos, MATCH(FALSE, ISNUMBER(MID(_xlpm.txt, ROW(INDIRECT("2:" &amp; _xlpm.n)), 1)*1), 0),
  LEFT(_xlpm.txt, _xlpm.pos)
)</f>
        <v>P2</v>
      </c>
      <c r="G209">
        <f>_xlfn.XLOOKUP(Table2[[#This Row],[Trigger]],SwitchButtons[switch],SwitchButtons[input])+Table2[[#This Row],[start]]</f>
        <v>3</v>
      </c>
      <c r="H209" t="s">
        <v>543</v>
      </c>
      <c r="I209" t="str">
        <f>_xlfn.XLOOKUP(Table2[[#This Row],[set1]],circuitoutputs[circuit],circuitoutputs[device])</f>
        <v>D28</v>
      </c>
      <c r="J209">
        <f>_xlfn.XLOOKUP(Table2[[#This Row],[set1]],circuitoutputs[circuit],circuitoutputs[output])</f>
        <v>0</v>
      </c>
      <c r="K209" t="s">
        <v>594</v>
      </c>
    </row>
    <row r="210" spans="1:11" hidden="1" x14ac:dyDescent="0.25">
      <c r="A210" t="s">
        <v>119</v>
      </c>
      <c r="B210" t="s">
        <v>251</v>
      </c>
      <c r="C210" cm="1">
        <f t="array" ref="C210">_xlfn.XLOOKUP(1,(LightSpec[Location]=Table2[[#This Row],[lookup Room]]) * (LightSpec[DiagNo]=Table2[[#This Row],[lookup Device]]), LightSpec[startinput])</f>
        <v>0</v>
      </c>
      <c r="D210" t="s">
        <v>508</v>
      </c>
      <c r="E210" t="s">
        <v>588</v>
      </c>
      <c r="F210" t="str" cm="1">
        <f t="array" aca="1" ref="F210" ca="1">_xlfn.LET(
  _xlpm.txt, _xlfn.XLOOKUP(1,(LightSpec[Location]=Table2[[#This Row],[lookup Room]]) * (LightSpec[DiagNo]=Table2[[#This Row],[lookup Device]]),LightSpec[From]),
  _xlpm.n, LEN(_xlpm.txt),
  _xlpm.pos, MATCH(FALSE, ISNUMBER(MID(_xlpm.txt, ROW(INDIRECT("2:" &amp; _xlpm.n)), 1)*1), 0),
  LEFT(_xlpm.txt, _xlpm.pos)
)</f>
        <v>P2</v>
      </c>
      <c r="G210">
        <f>_xlfn.XLOOKUP(Table2[[#This Row],[Trigger]],SwitchButtons[switch],SwitchButtons[input])+Table2[[#This Row],[start]]</f>
        <v>3</v>
      </c>
      <c r="H210" t="s">
        <v>515</v>
      </c>
      <c r="I210" t="str">
        <f>_xlfn.XLOOKUP(Table2[[#This Row],[set1]],circuitoutputs[circuit],circuitoutputs[device])</f>
        <v>P6</v>
      </c>
      <c r="J210">
        <f>_xlfn.XLOOKUP(Table2[[#This Row],[set1]],circuitoutputs[circuit],circuitoutputs[output])</f>
        <v>0</v>
      </c>
      <c r="K210" t="s">
        <v>594</v>
      </c>
    </row>
    <row r="211" spans="1:11" hidden="1" x14ac:dyDescent="0.25">
      <c r="A211" t="s">
        <v>119</v>
      </c>
      <c r="B211" t="s">
        <v>251</v>
      </c>
      <c r="C211" cm="1">
        <f t="array" ref="C211">_xlfn.XLOOKUP(1,(LightSpec[Location]=Table2[[#This Row],[lookup Room]]) * (LightSpec[DiagNo]=Table2[[#This Row],[lookup Device]]), LightSpec[startinput])</f>
        <v>0</v>
      </c>
      <c r="D211" t="s">
        <v>508</v>
      </c>
      <c r="E211" t="s">
        <v>588</v>
      </c>
      <c r="F211" t="str" cm="1">
        <f t="array" aca="1" ref="F211" ca="1">_xlfn.LET(
  _xlpm.txt, _xlfn.XLOOKUP(1,(LightSpec[Location]=Table2[[#This Row],[lookup Room]]) * (LightSpec[DiagNo]=Table2[[#This Row],[lookup Device]]),LightSpec[From]),
  _xlpm.n, LEN(_xlpm.txt),
  _xlpm.pos, MATCH(FALSE, ISNUMBER(MID(_xlpm.txt, ROW(INDIRECT("2:" &amp; _xlpm.n)), 1)*1), 0),
  LEFT(_xlpm.txt, _xlpm.pos)
)</f>
        <v>P2</v>
      </c>
      <c r="G211">
        <f>_xlfn.XLOOKUP(Table2[[#This Row],[Trigger]],SwitchButtons[switch],SwitchButtons[input])+Table2[[#This Row],[start]]</f>
        <v>3</v>
      </c>
      <c r="H211" t="s">
        <v>552</v>
      </c>
      <c r="I211" t="str">
        <f>_xlfn.XLOOKUP(Table2[[#This Row],[set1]],circuitoutputs[circuit],circuitoutputs[device])</f>
        <v>P6</v>
      </c>
      <c r="J211">
        <f>_xlfn.XLOOKUP(Table2[[#This Row],[set1]],circuitoutputs[circuit],circuitoutputs[output])</f>
        <v>1</v>
      </c>
      <c r="K211" t="s">
        <v>594</v>
      </c>
    </row>
    <row r="212" spans="1:11" hidden="1" x14ac:dyDescent="0.25">
      <c r="A212" t="s">
        <v>119</v>
      </c>
      <c r="B212" t="s">
        <v>251</v>
      </c>
      <c r="C212" cm="1">
        <f t="array" ref="C212">_xlfn.XLOOKUP(1,(LightSpec[Location]=Table2[[#This Row],[lookup Room]]) * (LightSpec[DiagNo]=Table2[[#This Row],[lookup Device]]), LightSpec[startinput])</f>
        <v>0</v>
      </c>
      <c r="D212" t="s">
        <v>508</v>
      </c>
      <c r="E212" t="s">
        <v>588</v>
      </c>
      <c r="F212" t="str" cm="1">
        <f t="array" aca="1" ref="F212" ca="1">_xlfn.LET(
  _xlpm.txt, _xlfn.XLOOKUP(1,(LightSpec[Location]=Table2[[#This Row],[lookup Room]]) * (LightSpec[DiagNo]=Table2[[#This Row],[lookup Device]]),LightSpec[From]),
  _xlpm.n, LEN(_xlpm.txt),
  _xlpm.pos, MATCH(FALSE, ISNUMBER(MID(_xlpm.txt, ROW(INDIRECT("2:" &amp; _xlpm.n)), 1)*1), 0),
  LEFT(_xlpm.txt, _xlpm.pos)
)</f>
        <v>P2</v>
      </c>
      <c r="G212">
        <f>_xlfn.XLOOKUP(Table2[[#This Row],[Trigger]],SwitchButtons[switch],SwitchButtons[input])+Table2[[#This Row],[start]]</f>
        <v>3</v>
      </c>
      <c r="H212" t="s">
        <v>581</v>
      </c>
      <c r="I212" t="str">
        <f>_xlfn.XLOOKUP(Table2[[#This Row],[set1]],circuitoutputs[circuit],circuitoutputs[device])</f>
        <v>P6</v>
      </c>
      <c r="J212">
        <f>_xlfn.XLOOKUP(Table2[[#This Row],[set1]],circuitoutputs[circuit],circuitoutputs[output])</f>
        <v>2</v>
      </c>
      <c r="K212" t="s">
        <v>594</v>
      </c>
    </row>
    <row r="213" spans="1:11" hidden="1" x14ac:dyDescent="0.25">
      <c r="A213" t="s">
        <v>119</v>
      </c>
      <c r="B213" t="s">
        <v>251</v>
      </c>
      <c r="C213" cm="1">
        <f t="array" ref="C213">_xlfn.XLOOKUP(1,(LightSpec[Location]=Table2[[#This Row],[lookup Room]]) * (LightSpec[DiagNo]=Table2[[#This Row],[lookup Device]]), LightSpec[startinput])</f>
        <v>0</v>
      </c>
      <c r="D213" t="s">
        <v>508</v>
      </c>
      <c r="E213" t="s">
        <v>589</v>
      </c>
      <c r="F213" t="str" cm="1">
        <f t="array" aca="1" ref="F213" ca="1">_xlfn.LET(
  _xlpm.txt, _xlfn.XLOOKUP(1,(LightSpec[Location]=Table2[[#This Row],[lookup Room]]) * (LightSpec[DiagNo]=Table2[[#This Row],[lookup Device]]),LightSpec[From]),
  _xlpm.n, LEN(_xlpm.txt),
  _xlpm.pos, MATCH(FALSE, ISNUMBER(MID(_xlpm.txt, ROW(INDIRECT("2:" &amp; _xlpm.n)), 1)*1), 0),
  LEFT(_xlpm.txt, _xlpm.pos)
)</f>
        <v>P2</v>
      </c>
      <c r="G213">
        <f>_xlfn.XLOOKUP(Table2[[#This Row],[Trigger]],SwitchButtons[switch],SwitchButtons[input])+Table2[[#This Row],[start]]</f>
        <v>3</v>
      </c>
      <c r="H213" t="s">
        <v>543</v>
      </c>
      <c r="I213" t="str">
        <f>_xlfn.XLOOKUP(Table2[[#This Row],[set1]],circuitoutputs[circuit],circuitoutputs[device])</f>
        <v>D28</v>
      </c>
      <c r="J213">
        <f>_xlfn.XLOOKUP(Table2[[#This Row],[set1]],circuitoutputs[circuit],circuitoutputs[output])</f>
        <v>0</v>
      </c>
      <c r="K213" t="s">
        <v>495</v>
      </c>
    </row>
    <row r="214" spans="1:11" hidden="1" x14ac:dyDescent="0.25">
      <c r="A214" t="s">
        <v>119</v>
      </c>
      <c r="B214" t="s">
        <v>251</v>
      </c>
      <c r="C214" cm="1">
        <f t="array" ref="C214">_xlfn.XLOOKUP(1,(LightSpec[Location]=Table2[[#This Row],[lookup Room]]) * (LightSpec[DiagNo]=Table2[[#This Row],[lookup Device]]), LightSpec[startinput])</f>
        <v>0</v>
      </c>
      <c r="D214" t="s">
        <v>508</v>
      </c>
      <c r="E214" t="s">
        <v>589</v>
      </c>
      <c r="F214" t="str" cm="1">
        <f t="array" aca="1" ref="F214" ca="1">_xlfn.LET(
  _xlpm.txt, _xlfn.XLOOKUP(1,(LightSpec[Location]=Table2[[#This Row],[lookup Room]]) * (LightSpec[DiagNo]=Table2[[#This Row],[lookup Device]]),LightSpec[From]),
  _xlpm.n, LEN(_xlpm.txt),
  _xlpm.pos, MATCH(FALSE, ISNUMBER(MID(_xlpm.txt, ROW(INDIRECT("2:" &amp; _xlpm.n)), 1)*1), 0),
  LEFT(_xlpm.txt, _xlpm.pos)
)</f>
        <v>P2</v>
      </c>
      <c r="G214">
        <f>_xlfn.XLOOKUP(Table2[[#This Row],[Trigger]],SwitchButtons[switch],SwitchButtons[input])+Table2[[#This Row],[start]]</f>
        <v>3</v>
      </c>
      <c r="H214" t="s">
        <v>515</v>
      </c>
      <c r="I214" t="str">
        <f>_xlfn.XLOOKUP(Table2[[#This Row],[set1]],circuitoutputs[circuit],circuitoutputs[device])</f>
        <v>P6</v>
      </c>
      <c r="J214">
        <f>_xlfn.XLOOKUP(Table2[[#This Row],[set1]],circuitoutputs[circuit],circuitoutputs[output])</f>
        <v>0</v>
      </c>
      <c r="K214" t="s">
        <v>495</v>
      </c>
    </row>
    <row r="215" spans="1:11" hidden="1" x14ac:dyDescent="0.25">
      <c r="A215" t="s">
        <v>119</v>
      </c>
      <c r="B215" t="s">
        <v>251</v>
      </c>
      <c r="C215" cm="1">
        <f t="array" ref="C215">_xlfn.XLOOKUP(1,(LightSpec[Location]=Table2[[#This Row],[lookup Room]]) * (LightSpec[DiagNo]=Table2[[#This Row],[lookup Device]]), LightSpec[startinput])</f>
        <v>0</v>
      </c>
      <c r="D215" t="s">
        <v>508</v>
      </c>
      <c r="E215" t="s">
        <v>589</v>
      </c>
      <c r="F215" t="str" cm="1">
        <f t="array" aca="1" ref="F215" ca="1">_xlfn.LET(
  _xlpm.txt, _xlfn.XLOOKUP(1,(LightSpec[Location]=Table2[[#This Row],[lookup Room]]) * (LightSpec[DiagNo]=Table2[[#This Row],[lookup Device]]),LightSpec[From]),
  _xlpm.n, LEN(_xlpm.txt),
  _xlpm.pos, MATCH(FALSE, ISNUMBER(MID(_xlpm.txt, ROW(INDIRECT("2:" &amp; _xlpm.n)), 1)*1), 0),
  LEFT(_xlpm.txt, _xlpm.pos)
)</f>
        <v>P2</v>
      </c>
      <c r="G215">
        <f>_xlfn.XLOOKUP(Table2[[#This Row],[Trigger]],SwitchButtons[switch],SwitchButtons[input])+Table2[[#This Row],[start]]</f>
        <v>3</v>
      </c>
      <c r="H215" t="s">
        <v>552</v>
      </c>
      <c r="I215" t="str">
        <f>_xlfn.XLOOKUP(Table2[[#This Row],[set1]],circuitoutputs[circuit],circuitoutputs[device])</f>
        <v>P6</v>
      </c>
      <c r="J215">
        <f>_xlfn.XLOOKUP(Table2[[#This Row],[set1]],circuitoutputs[circuit],circuitoutputs[output])</f>
        <v>1</v>
      </c>
      <c r="K215" t="s">
        <v>495</v>
      </c>
    </row>
    <row r="216" spans="1:11" hidden="1" x14ac:dyDescent="0.25">
      <c r="A216" t="s">
        <v>119</v>
      </c>
      <c r="B216" t="s">
        <v>251</v>
      </c>
      <c r="C216" cm="1">
        <f t="array" ref="C216">_xlfn.XLOOKUP(1,(LightSpec[Location]=Table2[[#This Row],[lookup Room]]) * (LightSpec[DiagNo]=Table2[[#This Row],[lookup Device]]), LightSpec[startinput])</f>
        <v>0</v>
      </c>
      <c r="D216" t="s">
        <v>508</v>
      </c>
      <c r="E216" t="s">
        <v>589</v>
      </c>
      <c r="F216" t="str" cm="1">
        <f t="array" aca="1" ref="F216" ca="1">_xlfn.LET(
  _xlpm.txt, _xlfn.XLOOKUP(1,(LightSpec[Location]=Table2[[#This Row],[lookup Room]]) * (LightSpec[DiagNo]=Table2[[#This Row],[lookup Device]]),LightSpec[From]),
  _xlpm.n, LEN(_xlpm.txt),
  _xlpm.pos, MATCH(FALSE, ISNUMBER(MID(_xlpm.txt, ROW(INDIRECT("2:" &amp; _xlpm.n)), 1)*1), 0),
  LEFT(_xlpm.txt, _xlpm.pos)
)</f>
        <v>P2</v>
      </c>
      <c r="G216">
        <f>_xlfn.XLOOKUP(Table2[[#This Row],[Trigger]],SwitchButtons[switch],SwitchButtons[input])+Table2[[#This Row],[start]]</f>
        <v>3</v>
      </c>
      <c r="H216" t="s">
        <v>581</v>
      </c>
      <c r="I216" t="str">
        <f>_xlfn.XLOOKUP(Table2[[#This Row],[set1]],circuitoutputs[circuit],circuitoutputs[device])</f>
        <v>P6</v>
      </c>
      <c r="J216">
        <f>_xlfn.XLOOKUP(Table2[[#This Row],[set1]],circuitoutputs[circuit],circuitoutputs[output])</f>
        <v>2</v>
      </c>
      <c r="K216" t="s">
        <v>495</v>
      </c>
    </row>
    <row r="217" spans="1:11" hidden="1" x14ac:dyDescent="0.25">
      <c r="A217" t="s">
        <v>121</v>
      </c>
      <c r="B217" t="s">
        <v>192</v>
      </c>
      <c r="C217" cm="1">
        <f t="array" ref="C217">_xlfn.XLOOKUP(1,(LightSpec[Location]=Table2[[#This Row],[lookup Room]]) * (LightSpec[DiagNo]=Table2[[#This Row],[lookup Device]]), LightSpec[startinput])</f>
        <v>0</v>
      </c>
      <c r="D217" t="s">
        <v>445</v>
      </c>
      <c r="E217" t="s">
        <v>500</v>
      </c>
      <c r="F217" t="str" cm="1">
        <f t="array" aca="1" ref="F217" ca="1">_xlfn.LET(
  _xlpm.txt, _xlfn.XLOOKUP(1,(LightSpec[Location]=Table2[[#This Row],[lookup Room]]) * (LightSpec[DiagNo]=Table2[[#This Row],[lookup Device]]),LightSpec[From]),
  _xlpm.n, LEN(_xlpm.txt),
  _xlpm.pos, MATCH(FALSE, ISNUMBER(MID(_xlpm.txt, ROW(INDIRECT("2:" &amp; _xlpm.n)), 1)*1), 0),
  LEFT(_xlpm.txt, _xlpm.pos)
)</f>
        <v>D4</v>
      </c>
      <c r="G217">
        <f>_xlfn.XLOOKUP(Table2[[#This Row],[Trigger]],SwitchButtons[switch],SwitchButtons[input])+Table2[[#This Row],[start]]</f>
        <v>0</v>
      </c>
      <c r="H217" t="s">
        <v>519</v>
      </c>
      <c r="I217" t="str">
        <f>_xlfn.XLOOKUP(Table2[[#This Row],[set1]],circuitoutputs[circuit],circuitoutputs[device])</f>
        <v>D4</v>
      </c>
      <c r="J217">
        <f>_xlfn.XLOOKUP(Table2[[#This Row],[set1]],circuitoutputs[circuit],circuitoutputs[output])</f>
        <v>0</v>
      </c>
      <c r="K217" t="s">
        <v>494</v>
      </c>
    </row>
    <row r="218" spans="1:11" hidden="1" x14ac:dyDescent="0.25">
      <c r="A218" t="s">
        <v>121</v>
      </c>
      <c r="B218" t="s">
        <v>192</v>
      </c>
      <c r="C218" cm="1">
        <f t="array" ref="C218">_xlfn.XLOOKUP(1,(LightSpec[Location]=Table2[[#This Row],[lookup Room]]) * (LightSpec[DiagNo]=Table2[[#This Row],[lookup Device]]), LightSpec[startinput])</f>
        <v>0</v>
      </c>
      <c r="D218" t="s">
        <v>445</v>
      </c>
      <c r="E218" t="s">
        <v>503</v>
      </c>
      <c r="F218" t="str" cm="1">
        <f t="array" aca="1" ref="F218" ca="1">_xlfn.LET(
  _xlpm.txt, _xlfn.XLOOKUP(1,(LightSpec[Location]=Table2[[#This Row],[lookup Room]]) * (LightSpec[DiagNo]=Table2[[#This Row],[lookup Device]]),LightSpec[From]),
  _xlpm.n, LEN(_xlpm.txt),
  _xlpm.pos, MATCH(FALSE, ISNUMBER(MID(_xlpm.txt, ROW(INDIRECT("2:" &amp; _xlpm.n)), 1)*1), 0),
  LEFT(_xlpm.txt, _xlpm.pos)
)</f>
        <v>D4</v>
      </c>
      <c r="G218">
        <f>_xlfn.XLOOKUP(Table2[[#This Row],[Trigger]],SwitchButtons[switch],SwitchButtons[input])+Table2[[#This Row],[start]]</f>
        <v>0</v>
      </c>
      <c r="H218" t="s">
        <v>519</v>
      </c>
      <c r="I218" t="str">
        <f>_xlfn.XLOOKUP(Table2[[#This Row],[set1]],circuitoutputs[circuit],circuitoutputs[device])</f>
        <v>D4</v>
      </c>
      <c r="J218">
        <f>_xlfn.XLOOKUP(Table2[[#This Row],[set1]],circuitoutputs[circuit],circuitoutputs[output])</f>
        <v>0</v>
      </c>
      <c r="K218" t="s">
        <v>597</v>
      </c>
    </row>
    <row r="219" spans="1:11" hidden="1" x14ac:dyDescent="0.25">
      <c r="A219" t="s">
        <v>121</v>
      </c>
      <c r="B219" t="s">
        <v>192</v>
      </c>
      <c r="C219" cm="1">
        <f t="array" ref="C219">_xlfn.XLOOKUP(1,(LightSpec[Location]=Table2[[#This Row],[lookup Room]]) * (LightSpec[DiagNo]=Table2[[#This Row],[lookup Device]]), LightSpec[startinput])</f>
        <v>0</v>
      </c>
      <c r="D219" t="s">
        <v>446</v>
      </c>
      <c r="E219" t="s">
        <v>500</v>
      </c>
      <c r="F219" t="str" cm="1">
        <f t="array" aca="1" ref="F219" ca="1">_xlfn.LET(
  _xlpm.txt, _xlfn.XLOOKUP(1,(LightSpec[Location]=Table2[[#This Row],[lookup Room]]) * (LightSpec[DiagNo]=Table2[[#This Row],[lookup Device]]),LightSpec[From]),
  _xlpm.n, LEN(_xlpm.txt),
  _xlpm.pos, MATCH(FALSE, ISNUMBER(MID(_xlpm.txt, ROW(INDIRECT("2:" &amp; _xlpm.n)), 1)*1), 0),
  LEFT(_xlpm.txt, _xlpm.pos)
)</f>
        <v>D4</v>
      </c>
      <c r="G219">
        <f>_xlfn.XLOOKUP(Table2[[#This Row],[Trigger]],SwitchButtons[switch],SwitchButtons[input])+Table2[[#This Row],[start]]</f>
        <v>1</v>
      </c>
      <c r="H219" t="s">
        <v>519</v>
      </c>
      <c r="I219" t="str">
        <f>_xlfn.XLOOKUP(Table2[[#This Row],[set1]],circuitoutputs[circuit],circuitoutputs[device])</f>
        <v>D4</v>
      </c>
      <c r="J219">
        <f>_xlfn.XLOOKUP(Table2[[#This Row],[set1]],circuitoutputs[circuit],circuitoutputs[output])</f>
        <v>0</v>
      </c>
      <c r="K219" t="s">
        <v>495</v>
      </c>
    </row>
    <row r="220" spans="1:11" hidden="1" x14ac:dyDescent="0.25">
      <c r="A220" t="s">
        <v>121</v>
      </c>
      <c r="B220" t="s">
        <v>192</v>
      </c>
      <c r="C220" cm="1">
        <f t="array" ref="C220">_xlfn.XLOOKUP(1,(LightSpec[Location]=Table2[[#This Row],[lookup Room]]) * (LightSpec[DiagNo]=Table2[[#This Row],[lookup Device]]), LightSpec[startinput])</f>
        <v>0</v>
      </c>
      <c r="D220" t="s">
        <v>446</v>
      </c>
      <c r="E220" t="s">
        <v>503</v>
      </c>
      <c r="F220" t="str" cm="1">
        <f t="array" aca="1" ref="F220" ca="1">_xlfn.LET(
  _xlpm.txt, _xlfn.XLOOKUP(1,(LightSpec[Location]=Table2[[#This Row],[lookup Room]]) * (LightSpec[DiagNo]=Table2[[#This Row],[lookup Device]]),LightSpec[From]),
  _xlpm.n, LEN(_xlpm.txt),
  _xlpm.pos, MATCH(FALSE, ISNUMBER(MID(_xlpm.txt, ROW(INDIRECT("2:" &amp; _xlpm.n)), 1)*1), 0),
  LEFT(_xlpm.txt, _xlpm.pos)
)</f>
        <v>D4</v>
      </c>
      <c r="G220">
        <f>_xlfn.XLOOKUP(Table2[[#This Row],[Trigger]],SwitchButtons[switch],SwitchButtons[input])+Table2[[#This Row],[start]]</f>
        <v>1</v>
      </c>
      <c r="H220" t="s">
        <v>519</v>
      </c>
      <c r="I220" t="str">
        <f>_xlfn.XLOOKUP(Table2[[#This Row],[set1]],circuitoutputs[circuit],circuitoutputs[device])</f>
        <v>D4</v>
      </c>
      <c r="J220">
        <f>_xlfn.XLOOKUP(Table2[[#This Row],[set1]],circuitoutputs[circuit],circuitoutputs[output])</f>
        <v>0</v>
      </c>
      <c r="K220" t="s">
        <v>495</v>
      </c>
    </row>
    <row r="221" spans="1:11" hidden="1" x14ac:dyDescent="0.25">
      <c r="A221" t="s">
        <v>122</v>
      </c>
      <c r="B221" t="s">
        <v>192</v>
      </c>
      <c r="C221" cm="1">
        <f t="array" ref="C221">_xlfn.XLOOKUP(1,(LightSpec[Location]=Table2[[#This Row],[lookup Room]]) * (LightSpec[DiagNo]=Table2[[#This Row],[lookup Device]]), LightSpec[startinput])</f>
        <v>0</v>
      </c>
      <c r="D221" t="s">
        <v>447</v>
      </c>
      <c r="E221" t="s">
        <v>500</v>
      </c>
      <c r="F221" t="str" cm="1">
        <f t="array" aca="1" ref="F221" ca="1">_xlfn.LET(
  _xlpm.txt, _xlfn.XLOOKUP(1,(LightSpec[Location]=Table2[[#This Row],[lookup Room]]) * (LightSpec[DiagNo]=Table2[[#This Row],[lookup Device]]),LightSpec[From]),
  _xlpm.n, LEN(_xlpm.txt),
  _xlpm.pos, MATCH(FALSE, ISNUMBER(MID(_xlpm.txt, ROW(INDIRECT("2:" &amp; _xlpm.n)), 1)*1), 0),
  LEFT(_xlpm.txt, _xlpm.pos)
)</f>
        <v>D5</v>
      </c>
      <c r="G221">
        <f>_xlfn.XLOOKUP(Table2[[#This Row],[Trigger]],SwitchButtons[switch],SwitchButtons[input])+Table2[[#This Row],[start]]</f>
        <v>2</v>
      </c>
      <c r="H221" t="s">
        <v>520</v>
      </c>
      <c r="I221" t="str">
        <f>_xlfn.XLOOKUP(Table2[[#This Row],[set1]],circuitoutputs[circuit],circuitoutputs[device])</f>
        <v>D5</v>
      </c>
      <c r="J221">
        <f>_xlfn.XLOOKUP(Table2[[#This Row],[set1]],circuitoutputs[circuit],circuitoutputs[output])</f>
        <v>0</v>
      </c>
      <c r="K221" t="s">
        <v>494</v>
      </c>
    </row>
    <row r="222" spans="1:11" hidden="1" x14ac:dyDescent="0.25">
      <c r="A222" t="s">
        <v>122</v>
      </c>
      <c r="B222" t="s">
        <v>192</v>
      </c>
      <c r="C222" cm="1">
        <f t="array" ref="C222">_xlfn.XLOOKUP(1,(LightSpec[Location]=Table2[[#This Row],[lookup Room]]) * (LightSpec[DiagNo]=Table2[[#This Row],[lookup Device]]), LightSpec[startinput])</f>
        <v>0</v>
      </c>
      <c r="D222" t="s">
        <v>447</v>
      </c>
      <c r="E222" t="s">
        <v>500</v>
      </c>
      <c r="F222" t="str" cm="1">
        <f t="array" aca="1" ref="F222" ca="1">_xlfn.LET(
  _xlpm.txt, _xlfn.XLOOKUP(1,(LightSpec[Location]=Table2[[#This Row],[lookup Room]]) * (LightSpec[DiagNo]=Table2[[#This Row],[lookup Device]]),LightSpec[From]),
  _xlpm.n, LEN(_xlpm.txt),
  _xlpm.pos, MATCH(FALSE, ISNUMBER(MID(_xlpm.txt, ROW(INDIRECT("2:" &amp; _xlpm.n)), 1)*1), 0),
  LEFT(_xlpm.txt, _xlpm.pos)
)</f>
        <v>D5</v>
      </c>
      <c r="G222">
        <f>_xlfn.XLOOKUP(Table2[[#This Row],[Trigger]],SwitchButtons[switch],SwitchButtons[input])+Table2[[#This Row],[start]]</f>
        <v>2</v>
      </c>
      <c r="H222" t="s">
        <v>557</v>
      </c>
      <c r="I222" t="str">
        <f>_xlfn.XLOOKUP(Table2[[#This Row],[set1]],circuitoutputs[circuit],circuitoutputs[device])</f>
        <v>D5</v>
      </c>
      <c r="J222">
        <f>_xlfn.XLOOKUP(Table2[[#This Row],[set1]],circuitoutputs[circuit],circuitoutputs[output])</f>
        <v>1</v>
      </c>
      <c r="K222" t="s">
        <v>494</v>
      </c>
    </row>
    <row r="223" spans="1:11" hidden="1" x14ac:dyDescent="0.25">
      <c r="A223" t="s">
        <v>122</v>
      </c>
      <c r="B223" t="s">
        <v>192</v>
      </c>
      <c r="C223" cm="1">
        <f t="array" ref="C223">_xlfn.XLOOKUP(1,(LightSpec[Location]=Table2[[#This Row],[lookup Room]]) * (LightSpec[DiagNo]=Table2[[#This Row],[lookup Device]]), LightSpec[startinput])</f>
        <v>0</v>
      </c>
      <c r="D223" t="s">
        <v>447</v>
      </c>
      <c r="E223" t="s">
        <v>501</v>
      </c>
      <c r="F223" t="str" cm="1">
        <f t="array" aca="1" ref="F223" ca="1">_xlfn.LET(
  _xlpm.txt, _xlfn.XLOOKUP(1,(LightSpec[Location]=Table2[[#This Row],[lookup Room]]) * (LightSpec[DiagNo]=Table2[[#This Row],[lookup Device]]),LightSpec[From]),
  _xlpm.n, LEN(_xlpm.txt),
  _xlpm.pos, MATCH(FALSE, ISNUMBER(MID(_xlpm.txt, ROW(INDIRECT("2:" &amp; _xlpm.n)), 1)*1), 0),
  LEFT(_xlpm.txt, _xlpm.pos)
)</f>
        <v>D5</v>
      </c>
      <c r="G223">
        <f>_xlfn.XLOOKUP(Table2[[#This Row],[Trigger]],SwitchButtons[switch],SwitchButtons[input])+Table2[[#This Row],[start]]</f>
        <v>2</v>
      </c>
      <c r="H223" t="s">
        <v>513</v>
      </c>
      <c r="I223" t="str">
        <f>_xlfn.XLOOKUP(Table2[[#This Row],[set1]],circuitoutputs[circuit],circuitoutputs[device])</f>
        <v>P4</v>
      </c>
      <c r="J223">
        <f>_xlfn.XLOOKUP(Table2[[#This Row],[set1]],circuitoutputs[circuit],circuitoutputs[output])</f>
        <v>0</v>
      </c>
      <c r="K223" t="s">
        <v>419</v>
      </c>
    </row>
    <row r="224" spans="1:11" hidden="1" x14ac:dyDescent="0.25">
      <c r="A224" t="s">
        <v>122</v>
      </c>
      <c r="B224" t="s">
        <v>192</v>
      </c>
      <c r="C224" cm="1">
        <f t="array" ref="C224">_xlfn.XLOOKUP(1,(LightSpec[Location]=Table2[[#This Row],[lookup Room]]) * (LightSpec[DiagNo]=Table2[[#This Row],[lookup Device]]), LightSpec[startinput])</f>
        <v>0</v>
      </c>
      <c r="D224" t="s">
        <v>447</v>
      </c>
      <c r="E224" t="s">
        <v>503</v>
      </c>
      <c r="F224" t="str" cm="1">
        <f t="array" aca="1" ref="F224" ca="1">_xlfn.LET(
  _xlpm.txt, _xlfn.XLOOKUP(1,(LightSpec[Location]=Table2[[#This Row],[lookup Room]]) * (LightSpec[DiagNo]=Table2[[#This Row],[lookup Device]]),LightSpec[From]),
  _xlpm.n, LEN(_xlpm.txt),
  _xlpm.pos, MATCH(FALSE, ISNUMBER(MID(_xlpm.txt, ROW(INDIRECT("2:" &amp; _xlpm.n)), 1)*1), 0),
  LEFT(_xlpm.txt, _xlpm.pos)
)</f>
        <v>D5</v>
      </c>
      <c r="G224">
        <f>_xlfn.XLOOKUP(Table2[[#This Row],[Trigger]],SwitchButtons[switch],SwitchButtons[input])+Table2[[#This Row],[start]]</f>
        <v>2</v>
      </c>
      <c r="H224" t="s">
        <v>520</v>
      </c>
      <c r="I224" t="str">
        <f>_xlfn.XLOOKUP(Table2[[#This Row],[set1]],circuitoutputs[circuit],circuitoutputs[device])</f>
        <v>D5</v>
      </c>
      <c r="J224">
        <f>_xlfn.XLOOKUP(Table2[[#This Row],[set1]],circuitoutputs[circuit],circuitoutputs[output])</f>
        <v>0</v>
      </c>
      <c r="K224" t="s">
        <v>596</v>
      </c>
    </row>
    <row r="225" spans="1:11" hidden="1" x14ac:dyDescent="0.25">
      <c r="A225" t="s">
        <v>122</v>
      </c>
      <c r="B225" t="s">
        <v>192</v>
      </c>
      <c r="C225" cm="1">
        <f t="array" ref="C225">_xlfn.XLOOKUP(1,(LightSpec[Location]=Table2[[#This Row],[lookup Room]]) * (LightSpec[DiagNo]=Table2[[#This Row],[lookup Device]]), LightSpec[startinput])</f>
        <v>0</v>
      </c>
      <c r="D225" t="s">
        <v>447</v>
      </c>
      <c r="E225" t="s">
        <v>503</v>
      </c>
      <c r="F225" t="str" cm="1">
        <f t="array" aca="1" ref="F225" ca="1">_xlfn.LET(
  _xlpm.txt, _xlfn.XLOOKUP(1,(LightSpec[Location]=Table2[[#This Row],[lookup Room]]) * (LightSpec[DiagNo]=Table2[[#This Row],[lookup Device]]),LightSpec[From]),
  _xlpm.n, LEN(_xlpm.txt),
  _xlpm.pos, MATCH(FALSE, ISNUMBER(MID(_xlpm.txt, ROW(INDIRECT("2:" &amp; _xlpm.n)), 1)*1), 0),
  LEFT(_xlpm.txt, _xlpm.pos)
)</f>
        <v>D5</v>
      </c>
      <c r="G225">
        <f>_xlfn.XLOOKUP(Table2[[#This Row],[Trigger]],SwitchButtons[switch],SwitchButtons[input])+Table2[[#This Row],[start]]</f>
        <v>2</v>
      </c>
      <c r="H225" t="s">
        <v>557</v>
      </c>
      <c r="I225" t="str">
        <f>_xlfn.XLOOKUP(Table2[[#This Row],[set1]],circuitoutputs[circuit],circuitoutputs[device])</f>
        <v>D5</v>
      </c>
      <c r="J225">
        <f>_xlfn.XLOOKUP(Table2[[#This Row],[set1]],circuitoutputs[circuit],circuitoutputs[output])</f>
        <v>1</v>
      </c>
      <c r="K225" t="s">
        <v>596</v>
      </c>
    </row>
    <row r="226" spans="1:11" hidden="1" x14ac:dyDescent="0.25">
      <c r="A226" t="s">
        <v>122</v>
      </c>
      <c r="B226" t="s">
        <v>192</v>
      </c>
      <c r="C226" cm="1">
        <f t="array" ref="C226">_xlfn.XLOOKUP(1,(LightSpec[Location]=Table2[[#This Row],[lookup Room]]) * (LightSpec[DiagNo]=Table2[[#This Row],[lookup Device]]), LightSpec[startinput])</f>
        <v>0</v>
      </c>
      <c r="D226" t="s">
        <v>448</v>
      </c>
      <c r="E226" t="s">
        <v>500</v>
      </c>
      <c r="F226" t="str" cm="1">
        <f t="array" aca="1" ref="F226" ca="1">_xlfn.LET(
  _xlpm.txt, _xlfn.XLOOKUP(1,(LightSpec[Location]=Table2[[#This Row],[lookup Room]]) * (LightSpec[DiagNo]=Table2[[#This Row],[lookup Device]]),LightSpec[From]),
  _xlpm.n, LEN(_xlpm.txt),
  _xlpm.pos, MATCH(FALSE, ISNUMBER(MID(_xlpm.txt, ROW(INDIRECT("2:" &amp; _xlpm.n)), 1)*1), 0),
  LEFT(_xlpm.txt, _xlpm.pos)
)</f>
        <v>D5</v>
      </c>
      <c r="G226">
        <f>_xlfn.XLOOKUP(Table2[[#This Row],[Trigger]],SwitchButtons[switch],SwitchButtons[input])+Table2[[#This Row],[start]]</f>
        <v>3</v>
      </c>
      <c r="H226" t="s">
        <v>520</v>
      </c>
      <c r="I226" t="str">
        <f>_xlfn.XLOOKUP(Table2[[#This Row],[set1]],circuitoutputs[circuit],circuitoutputs[device])</f>
        <v>D5</v>
      </c>
      <c r="J226">
        <f>_xlfn.XLOOKUP(Table2[[#This Row],[set1]],circuitoutputs[circuit],circuitoutputs[output])</f>
        <v>0</v>
      </c>
      <c r="K226" t="s">
        <v>495</v>
      </c>
    </row>
    <row r="227" spans="1:11" hidden="1" x14ac:dyDescent="0.25">
      <c r="A227" t="s">
        <v>122</v>
      </c>
      <c r="B227" t="s">
        <v>192</v>
      </c>
      <c r="C227" cm="1">
        <f t="array" ref="C227">_xlfn.XLOOKUP(1,(LightSpec[Location]=Table2[[#This Row],[lookup Room]]) * (LightSpec[DiagNo]=Table2[[#This Row],[lookup Device]]), LightSpec[startinput])</f>
        <v>0</v>
      </c>
      <c r="D227" t="s">
        <v>448</v>
      </c>
      <c r="E227" t="s">
        <v>500</v>
      </c>
      <c r="F227" t="str" cm="1">
        <f t="array" aca="1" ref="F227" ca="1">_xlfn.LET(
  _xlpm.txt, _xlfn.XLOOKUP(1,(LightSpec[Location]=Table2[[#This Row],[lookup Room]]) * (LightSpec[DiagNo]=Table2[[#This Row],[lookup Device]]),LightSpec[From]),
  _xlpm.n, LEN(_xlpm.txt),
  _xlpm.pos, MATCH(FALSE, ISNUMBER(MID(_xlpm.txt, ROW(INDIRECT("2:" &amp; _xlpm.n)), 1)*1), 0),
  LEFT(_xlpm.txt, _xlpm.pos)
)</f>
        <v>D5</v>
      </c>
      <c r="G227">
        <f>_xlfn.XLOOKUP(Table2[[#This Row],[Trigger]],SwitchButtons[switch],SwitchButtons[input])+Table2[[#This Row],[start]]</f>
        <v>3</v>
      </c>
      <c r="H227" t="s">
        <v>557</v>
      </c>
      <c r="I227" t="str">
        <f>_xlfn.XLOOKUP(Table2[[#This Row],[set1]],circuitoutputs[circuit],circuitoutputs[device])</f>
        <v>D5</v>
      </c>
      <c r="J227">
        <f>_xlfn.XLOOKUP(Table2[[#This Row],[set1]],circuitoutputs[circuit],circuitoutputs[output])</f>
        <v>1</v>
      </c>
      <c r="K227" t="s">
        <v>495</v>
      </c>
    </row>
    <row r="228" spans="1:11" hidden="1" x14ac:dyDescent="0.25">
      <c r="A228" t="s">
        <v>122</v>
      </c>
      <c r="B228" t="s">
        <v>192</v>
      </c>
      <c r="C228" cm="1">
        <f t="array" ref="C228">_xlfn.XLOOKUP(1,(LightSpec[Location]=Table2[[#This Row],[lookup Room]]) * (LightSpec[DiagNo]=Table2[[#This Row],[lookup Device]]), LightSpec[startinput])</f>
        <v>0</v>
      </c>
      <c r="D228" t="s">
        <v>448</v>
      </c>
      <c r="E228" t="s">
        <v>501</v>
      </c>
      <c r="F228" t="str" cm="1">
        <f t="array" aca="1" ref="F228" ca="1">_xlfn.LET(
  _xlpm.txt, _xlfn.XLOOKUP(1,(LightSpec[Location]=Table2[[#This Row],[lookup Room]]) * (LightSpec[DiagNo]=Table2[[#This Row],[lookup Device]]),LightSpec[From]),
  _xlpm.n, LEN(_xlpm.txt),
  _xlpm.pos, MATCH(FALSE, ISNUMBER(MID(_xlpm.txt, ROW(INDIRECT("2:" &amp; _xlpm.n)), 1)*1), 0),
  LEFT(_xlpm.txt, _xlpm.pos)
)</f>
        <v>D5</v>
      </c>
      <c r="G228">
        <f>_xlfn.XLOOKUP(Table2[[#This Row],[Trigger]],SwitchButtons[switch],SwitchButtons[input])+Table2[[#This Row],[start]]</f>
        <v>3</v>
      </c>
      <c r="H228" t="s">
        <v>513</v>
      </c>
      <c r="I228" t="str">
        <f>_xlfn.XLOOKUP(Table2[[#This Row],[set1]],circuitoutputs[circuit],circuitoutputs[device])</f>
        <v>P4</v>
      </c>
      <c r="J228">
        <f>_xlfn.XLOOKUP(Table2[[#This Row],[set1]],circuitoutputs[circuit],circuitoutputs[output])</f>
        <v>0</v>
      </c>
      <c r="K228" t="s">
        <v>495</v>
      </c>
    </row>
    <row r="229" spans="1:11" hidden="1" x14ac:dyDescent="0.25">
      <c r="A229" t="s">
        <v>122</v>
      </c>
      <c r="B229" t="s">
        <v>192</v>
      </c>
      <c r="C229" cm="1">
        <f t="array" ref="C229">_xlfn.XLOOKUP(1,(LightSpec[Location]=Table2[[#This Row],[lookup Room]]) * (LightSpec[DiagNo]=Table2[[#This Row],[lookup Device]]), LightSpec[startinput])</f>
        <v>0</v>
      </c>
      <c r="D229" t="s">
        <v>448</v>
      </c>
      <c r="E229" t="s">
        <v>503</v>
      </c>
      <c r="F229" t="str" cm="1">
        <f t="array" aca="1" ref="F229" ca="1">_xlfn.LET(
  _xlpm.txt, _xlfn.XLOOKUP(1,(LightSpec[Location]=Table2[[#This Row],[lookup Room]]) * (LightSpec[DiagNo]=Table2[[#This Row],[lookup Device]]),LightSpec[From]),
  _xlpm.n, LEN(_xlpm.txt),
  _xlpm.pos, MATCH(FALSE, ISNUMBER(MID(_xlpm.txt, ROW(INDIRECT("2:" &amp; _xlpm.n)), 1)*1), 0),
  LEFT(_xlpm.txt, _xlpm.pos)
)</f>
        <v>D5</v>
      </c>
      <c r="G229">
        <f>_xlfn.XLOOKUP(Table2[[#This Row],[Trigger]],SwitchButtons[switch],SwitchButtons[input])+Table2[[#This Row],[start]]</f>
        <v>3</v>
      </c>
      <c r="H229" t="s">
        <v>520</v>
      </c>
      <c r="I229" t="str">
        <f>_xlfn.XLOOKUP(Table2[[#This Row],[set1]],circuitoutputs[circuit],circuitoutputs[device])</f>
        <v>D5</v>
      </c>
      <c r="J229">
        <f>_xlfn.XLOOKUP(Table2[[#This Row],[set1]],circuitoutputs[circuit],circuitoutputs[output])</f>
        <v>0</v>
      </c>
      <c r="K229" t="s">
        <v>495</v>
      </c>
    </row>
    <row r="230" spans="1:11" hidden="1" x14ac:dyDescent="0.25">
      <c r="A230" t="s">
        <v>122</v>
      </c>
      <c r="B230" t="s">
        <v>192</v>
      </c>
      <c r="C230" cm="1">
        <f t="array" ref="C230">_xlfn.XLOOKUP(1,(LightSpec[Location]=Table2[[#This Row],[lookup Room]]) * (LightSpec[DiagNo]=Table2[[#This Row],[lookup Device]]), LightSpec[startinput])</f>
        <v>0</v>
      </c>
      <c r="D230" t="s">
        <v>448</v>
      </c>
      <c r="E230" t="s">
        <v>503</v>
      </c>
      <c r="F230" t="str" cm="1">
        <f t="array" aca="1" ref="F230" ca="1">_xlfn.LET(
  _xlpm.txt, _xlfn.XLOOKUP(1,(LightSpec[Location]=Table2[[#This Row],[lookup Room]]) * (LightSpec[DiagNo]=Table2[[#This Row],[lookup Device]]),LightSpec[From]),
  _xlpm.n, LEN(_xlpm.txt),
  _xlpm.pos, MATCH(FALSE, ISNUMBER(MID(_xlpm.txt, ROW(INDIRECT("2:" &amp; _xlpm.n)), 1)*1), 0),
  LEFT(_xlpm.txt, _xlpm.pos)
)</f>
        <v>D5</v>
      </c>
      <c r="G230">
        <f>_xlfn.XLOOKUP(Table2[[#This Row],[Trigger]],SwitchButtons[switch],SwitchButtons[input])+Table2[[#This Row],[start]]</f>
        <v>3</v>
      </c>
      <c r="H230" t="s">
        <v>557</v>
      </c>
      <c r="I230" t="str">
        <f>_xlfn.XLOOKUP(Table2[[#This Row],[set1]],circuitoutputs[circuit],circuitoutputs[device])</f>
        <v>D5</v>
      </c>
      <c r="J230">
        <f>_xlfn.XLOOKUP(Table2[[#This Row],[set1]],circuitoutputs[circuit],circuitoutputs[output])</f>
        <v>1</v>
      </c>
      <c r="K230" t="s">
        <v>495</v>
      </c>
    </row>
    <row r="231" spans="1:11" hidden="1" x14ac:dyDescent="0.25">
      <c r="A231" t="s">
        <v>122</v>
      </c>
      <c r="B231" t="s">
        <v>192</v>
      </c>
      <c r="C231" cm="1">
        <f t="array" ref="C231">_xlfn.XLOOKUP(1,(LightSpec[Location]=Table2[[#This Row],[lookup Room]]) * (LightSpec[DiagNo]=Table2[[#This Row],[lookup Device]]), LightSpec[startinput])</f>
        <v>0</v>
      </c>
      <c r="D231" t="s">
        <v>448</v>
      </c>
      <c r="E231" t="s">
        <v>503</v>
      </c>
      <c r="F231" t="str" cm="1">
        <f t="array" aca="1" ref="F231" ca="1">_xlfn.LET(
  _xlpm.txt, _xlfn.XLOOKUP(1,(LightSpec[Location]=Table2[[#This Row],[lookup Room]]) * (LightSpec[DiagNo]=Table2[[#This Row],[lookup Device]]),LightSpec[From]),
  _xlpm.n, LEN(_xlpm.txt),
  _xlpm.pos, MATCH(FALSE, ISNUMBER(MID(_xlpm.txt, ROW(INDIRECT("2:" &amp; _xlpm.n)), 1)*1), 0),
  LEFT(_xlpm.txt, _xlpm.pos)
)</f>
        <v>D5</v>
      </c>
      <c r="G231">
        <f>_xlfn.XLOOKUP(Table2[[#This Row],[Trigger]],SwitchButtons[switch],SwitchButtons[input])+Table2[[#This Row],[start]]</f>
        <v>3</v>
      </c>
      <c r="H231" t="s">
        <v>522</v>
      </c>
      <c r="I231" t="str">
        <f>_xlfn.XLOOKUP(Table2[[#This Row],[set1]],circuitoutputs[circuit],circuitoutputs[device])</f>
        <v>D7</v>
      </c>
      <c r="J231">
        <f>_xlfn.XLOOKUP(Table2[[#This Row],[set1]],circuitoutputs[circuit],circuitoutputs[output])</f>
        <v>0</v>
      </c>
      <c r="K231" t="s">
        <v>495</v>
      </c>
    </row>
    <row r="232" spans="1:11" hidden="1" x14ac:dyDescent="0.25">
      <c r="A232" t="s">
        <v>122</v>
      </c>
      <c r="B232" t="s">
        <v>192</v>
      </c>
      <c r="C232" cm="1">
        <f t="array" ref="C232">_xlfn.XLOOKUP(1,(LightSpec[Location]=Table2[[#This Row],[lookup Room]]) * (LightSpec[DiagNo]=Table2[[#This Row],[lookup Device]]), LightSpec[startinput])</f>
        <v>0</v>
      </c>
      <c r="D232" t="s">
        <v>448</v>
      </c>
      <c r="E232" t="s">
        <v>503</v>
      </c>
      <c r="F232" t="str" cm="1">
        <f t="array" aca="1" ref="F232" ca="1">_xlfn.LET(
  _xlpm.txt, _xlfn.XLOOKUP(1,(LightSpec[Location]=Table2[[#This Row],[lookup Room]]) * (LightSpec[DiagNo]=Table2[[#This Row],[lookup Device]]),LightSpec[From]),
  _xlpm.n, LEN(_xlpm.txt),
  _xlpm.pos, MATCH(FALSE, ISNUMBER(MID(_xlpm.txt, ROW(INDIRECT("2:" &amp; _xlpm.n)), 1)*1), 0),
  LEFT(_xlpm.txt, _xlpm.pos)
)</f>
        <v>D5</v>
      </c>
      <c r="G232">
        <f>_xlfn.XLOOKUP(Table2[[#This Row],[Trigger]],SwitchButtons[switch],SwitchButtons[input])+Table2[[#This Row],[start]]</f>
        <v>3</v>
      </c>
      <c r="H232" t="s">
        <v>559</v>
      </c>
      <c r="I232" t="str">
        <f>_xlfn.XLOOKUP(Table2[[#This Row],[set1]],circuitoutputs[circuit],circuitoutputs[device])</f>
        <v>D7</v>
      </c>
      <c r="J232">
        <f>_xlfn.XLOOKUP(Table2[[#This Row],[set1]],circuitoutputs[circuit],circuitoutputs[output])</f>
        <v>1</v>
      </c>
      <c r="K232" t="s">
        <v>495</v>
      </c>
    </row>
    <row r="233" spans="1:11" hidden="1" x14ac:dyDescent="0.25">
      <c r="A233" t="s">
        <v>122</v>
      </c>
      <c r="B233" t="s">
        <v>192</v>
      </c>
      <c r="C233" cm="1">
        <f t="array" ref="C233">_xlfn.XLOOKUP(1,(LightSpec[Location]=Table2[[#This Row],[lookup Room]]) * (LightSpec[DiagNo]=Table2[[#This Row],[lookup Device]]), LightSpec[startinput])</f>
        <v>0</v>
      </c>
      <c r="D233" t="s">
        <v>448</v>
      </c>
      <c r="E233" t="s">
        <v>503</v>
      </c>
      <c r="F233" t="str" cm="1">
        <f t="array" aca="1" ref="F233" ca="1">_xlfn.LET(
  _xlpm.txt, _xlfn.XLOOKUP(1,(LightSpec[Location]=Table2[[#This Row],[lookup Room]]) * (LightSpec[DiagNo]=Table2[[#This Row],[lookup Device]]),LightSpec[From]),
  _xlpm.n, LEN(_xlpm.txt),
  _xlpm.pos, MATCH(FALSE, ISNUMBER(MID(_xlpm.txt, ROW(INDIRECT("2:" &amp; _xlpm.n)), 1)*1), 0),
  LEFT(_xlpm.txt, _xlpm.pos)
)</f>
        <v>D5</v>
      </c>
      <c r="G233">
        <f>_xlfn.XLOOKUP(Table2[[#This Row],[Trigger]],SwitchButtons[switch],SwitchButtons[input])+Table2[[#This Row],[start]]</f>
        <v>3</v>
      </c>
      <c r="H233" t="s">
        <v>523</v>
      </c>
      <c r="I233" t="str">
        <f>_xlfn.XLOOKUP(Table2[[#This Row],[set1]],circuitoutputs[circuit],circuitoutputs[device])</f>
        <v>D8</v>
      </c>
      <c r="J233">
        <f>_xlfn.XLOOKUP(Table2[[#This Row],[set1]],circuitoutputs[circuit],circuitoutputs[output])</f>
        <v>0</v>
      </c>
      <c r="K233" t="s">
        <v>495</v>
      </c>
    </row>
    <row r="234" spans="1:11" hidden="1" x14ac:dyDescent="0.25">
      <c r="A234" t="s">
        <v>122</v>
      </c>
      <c r="B234" t="s">
        <v>192</v>
      </c>
      <c r="C234" cm="1">
        <f t="array" ref="C234">_xlfn.XLOOKUP(1,(LightSpec[Location]=Table2[[#This Row],[lookup Room]]) * (LightSpec[DiagNo]=Table2[[#This Row],[lookup Device]]), LightSpec[startinput])</f>
        <v>0</v>
      </c>
      <c r="D234" t="s">
        <v>448</v>
      </c>
      <c r="E234" t="s">
        <v>503</v>
      </c>
      <c r="F234" t="str" cm="1">
        <f t="array" aca="1" ref="F234" ca="1">_xlfn.LET(
  _xlpm.txt, _xlfn.XLOOKUP(1,(LightSpec[Location]=Table2[[#This Row],[lookup Room]]) * (LightSpec[DiagNo]=Table2[[#This Row],[lookup Device]]),LightSpec[From]),
  _xlpm.n, LEN(_xlpm.txt),
  _xlpm.pos, MATCH(FALSE, ISNUMBER(MID(_xlpm.txt, ROW(INDIRECT("2:" &amp; _xlpm.n)), 1)*1), 0),
  LEFT(_xlpm.txt, _xlpm.pos)
)</f>
        <v>D5</v>
      </c>
      <c r="G234">
        <f>_xlfn.XLOOKUP(Table2[[#This Row],[Trigger]],SwitchButtons[switch],SwitchButtons[input])+Table2[[#This Row],[start]]</f>
        <v>3</v>
      </c>
      <c r="H234" t="s">
        <v>560</v>
      </c>
      <c r="I234" t="str">
        <f>_xlfn.XLOOKUP(Table2[[#This Row],[set1]],circuitoutputs[circuit],circuitoutputs[device])</f>
        <v>D8</v>
      </c>
      <c r="J234">
        <f>_xlfn.XLOOKUP(Table2[[#This Row],[set1]],circuitoutputs[circuit],circuitoutputs[output])</f>
        <v>1</v>
      </c>
      <c r="K234" t="s">
        <v>495</v>
      </c>
    </row>
    <row r="235" spans="1:11" hidden="1" x14ac:dyDescent="0.25">
      <c r="A235" t="s">
        <v>122</v>
      </c>
      <c r="B235" t="s">
        <v>192</v>
      </c>
      <c r="C235" cm="1">
        <f t="array" ref="C235">_xlfn.XLOOKUP(1,(LightSpec[Location]=Table2[[#This Row],[lookup Room]]) * (LightSpec[DiagNo]=Table2[[#This Row],[lookup Device]]), LightSpec[startinput])</f>
        <v>0</v>
      </c>
      <c r="D235" t="s">
        <v>448</v>
      </c>
      <c r="E235" t="s">
        <v>503</v>
      </c>
      <c r="F235" t="str" cm="1">
        <f t="array" aca="1" ref="F235" ca="1">_xlfn.LET(
  _xlpm.txt, _xlfn.XLOOKUP(1,(LightSpec[Location]=Table2[[#This Row],[lookup Room]]) * (LightSpec[DiagNo]=Table2[[#This Row],[lookup Device]]),LightSpec[From]),
  _xlpm.n, LEN(_xlpm.txt),
  _xlpm.pos, MATCH(FALSE, ISNUMBER(MID(_xlpm.txt, ROW(INDIRECT("2:" &amp; _xlpm.n)), 1)*1), 0),
  LEFT(_xlpm.txt, _xlpm.pos)
)</f>
        <v>D5</v>
      </c>
      <c r="G235">
        <f>_xlfn.XLOOKUP(Table2[[#This Row],[Trigger]],SwitchButtons[switch],SwitchButtons[input])+Table2[[#This Row],[start]]</f>
        <v>3</v>
      </c>
      <c r="H235" t="s">
        <v>524</v>
      </c>
      <c r="I235" t="str">
        <f>_xlfn.XLOOKUP(Table2[[#This Row],[set1]],circuitoutputs[circuit],circuitoutputs[device])</f>
        <v>D9</v>
      </c>
      <c r="J235">
        <f>_xlfn.XLOOKUP(Table2[[#This Row],[set1]],circuitoutputs[circuit],circuitoutputs[output])</f>
        <v>0</v>
      </c>
      <c r="K235" t="s">
        <v>495</v>
      </c>
    </row>
    <row r="236" spans="1:11" hidden="1" x14ac:dyDescent="0.25">
      <c r="A236" t="s">
        <v>122</v>
      </c>
      <c r="B236" t="s">
        <v>192</v>
      </c>
      <c r="C236" cm="1">
        <f t="array" ref="C236">_xlfn.XLOOKUP(1,(LightSpec[Location]=Table2[[#This Row],[lookup Room]]) * (LightSpec[DiagNo]=Table2[[#This Row],[lookup Device]]), LightSpec[startinput])</f>
        <v>0</v>
      </c>
      <c r="D236" t="s">
        <v>448</v>
      </c>
      <c r="E236" t="s">
        <v>503</v>
      </c>
      <c r="F236" t="str" cm="1">
        <f t="array" aca="1" ref="F236" ca="1">_xlfn.LET(
  _xlpm.txt, _xlfn.XLOOKUP(1,(LightSpec[Location]=Table2[[#This Row],[lookup Room]]) * (LightSpec[DiagNo]=Table2[[#This Row],[lookup Device]]),LightSpec[From]),
  _xlpm.n, LEN(_xlpm.txt),
  _xlpm.pos, MATCH(FALSE, ISNUMBER(MID(_xlpm.txt, ROW(INDIRECT("2:" &amp; _xlpm.n)), 1)*1), 0),
  LEFT(_xlpm.txt, _xlpm.pos)
)</f>
        <v>D5</v>
      </c>
      <c r="G236">
        <f>_xlfn.XLOOKUP(Table2[[#This Row],[Trigger]],SwitchButtons[switch],SwitchButtons[input])+Table2[[#This Row],[start]]</f>
        <v>3</v>
      </c>
      <c r="H236" t="s">
        <v>513</v>
      </c>
      <c r="I236" t="str">
        <f>_xlfn.XLOOKUP(Table2[[#This Row],[set1]],circuitoutputs[circuit],circuitoutputs[device])</f>
        <v>P4</v>
      </c>
      <c r="J236">
        <f>_xlfn.XLOOKUP(Table2[[#This Row],[set1]],circuitoutputs[circuit],circuitoutputs[output])</f>
        <v>0</v>
      </c>
      <c r="K236" t="s">
        <v>495</v>
      </c>
    </row>
    <row r="237" spans="1:11" hidden="1" x14ac:dyDescent="0.25">
      <c r="A237" t="s">
        <v>122</v>
      </c>
      <c r="B237" t="s">
        <v>192</v>
      </c>
      <c r="C237" cm="1">
        <f t="array" ref="C237">_xlfn.XLOOKUP(1,(LightSpec[Location]=Table2[[#This Row],[lookup Room]]) * (LightSpec[DiagNo]=Table2[[#This Row],[lookup Device]]), LightSpec[startinput])</f>
        <v>0</v>
      </c>
      <c r="D237" t="s">
        <v>448</v>
      </c>
      <c r="E237" t="s">
        <v>503</v>
      </c>
      <c r="F237" t="str" cm="1">
        <f t="array" aca="1" ref="F237" ca="1">_xlfn.LET(
  _xlpm.txt, _xlfn.XLOOKUP(1,(LightSpec[Location]=Table2[[#This Row],[lookup Room]]) * (LightSpec[DiagNo]=Table2[[#This Row],[lookup Device]]),LightSpec[From]),
  _xlpm.n, LEN(_xlpm.txt),
  _xlpm.pos, MATCH(FALSE, ISNUMBER(MID(_xlpm.txt, ROW(INDIRECT("2:" &amp; _xlpm.n)), 1)*1), 0),
  LEFT(_xlpm.txt, _xlpm.pos)
)</f>
        <v>D5</v>
      </c>
      <c r="G237">
        <f>_xlfn.XLOOKUP(Table2[[#This Row],[Trigger]],SwitchButtons[switch],SwitchButtons[input])+Table2[[#This Row],[start]]</f>
        <v>3</v>
      </c>
      <c r="H237" t="s">
        <v>561</v>
      </c>
      <c r="I237" t="str">
        <f>_xlfn.XLOOKUP(Table2[[#This Row],[set1]],circuitoutputs[circuit],circuitoutputs[device])</f>
        <v>D9</v>
      </c>
      <c r="J237">
        <f>_xlfn.XLOOKUP(Table2[[#This Row],[set1]],circuitoutputs[circuit],circuitoutputs[output])</f>
        <v>1</v>
      </c>
      <c r="K237" t="s">
        <v>495</v>
      </c>
    </row>
    <row r="238" spans="1:11" hidden="1" x14ac:dyDescent="0.25">
      <c r="A238" t="s">
        <v>122</v>
      </c>
      <c r="B238" t="s">
        <v>192</v>
      </c>
      <c r="C238" cm="1">
        <f t="array" ref="C238">_xlfn.XLOOKUP(1,(LightSpec[Location]=Table2[[#This Row],[lookup Room]]) * (LightSpec[DiagNo]=Table2[[#This Row],[lookup Device]]), LightSpec[startinput])</f>
        <v>0</v>
      </c>
      <c r="D238" t="s">
        <v>448</v>
      </c>
      <c r="E238" t="s">
        <v>503</v>
      </c>
      <c r="F238" t="str" cm="1">
        <f t="array" aca="1" ref="F238" ca="1">_xlfn.LET(
  _xlpm.txt, _xlfn.XLOOKUP(1,(LightSpec[Location]=Table2[[#This Row],[lookup Room]]) * (LightSpec[DiagNo]=Table2[[#This Row],[lookup Device]]),LightSpec[From]),
  _xlpm.n, LEN(_xlpm.txt),
  _xlpm.pos, MATCH(FALSE, ISNUMBER(MID(_xlpm.txt, ROW(INDIRECT("2:" &amp; _xlpm.n)), 1)*1), 0),
  LEFT(_xlpm.txt, _xlpm.pos)
)</f>
        <v>D5</v>
      </c>
      <c r="G238">
        <f>_xlfn.XLOOKUP(Table2[[#This Row],[Trigger]],SwitchButtons[switch],SwitchButtons[input])+Table2[[#This Row],[start]]</f>
        <v>3</v>
      </c>
      <c r="H238" t="s">
        <v>525</v>
      </c>
      <c r="I238" t="str">
        <f>_xlfn.XLOOKUP(Table2[[#This Row],[set1]],circuitoutputs[circuit],circuitoutputs[device])</f>
        <v>D10</v>
      </c>
      <c r="J238">
        <f>_xlfn.XLOOKUP(Table2[[#This Row],[set1]],circuitoutputs[circuit],circuitoutputs[output])</f>
        <v>0</v>
      </c>
      <c r="K238" t="s">
        <v>495</v>
      </c>
    </row>
    <row r="239" spans="1:11" hidden="1" x14ac:dyDescent="0.25">
      <c r="A239" t="s">
        <v>122</v>
      </c>
      <c r="B239" t="s">
        <v>192</v>
      </c>
      <c r="C239" cm="1">
        <f t="array" ref="C239">_xlfn.XLOOKUP(1,(LightSpec[Location]=Table2[[#This Row],[lookup Room]]) * (LightSpec[DiagNo]=Table2[[#This Row],[lookup Device]]), LightSpec[startinput])</f>
        <v>0</v>
      </c>
      <c r="D239" t="s">
        <v>445</v>
      </c>
      <c r="E239" t="s">
        <v>500</v>
      </c>
      <c r="F239" t="str" cm="1">
        <f t="array" aca="1" ref="F239" ca="1">_xlfn.LET(
  _xlpm.txt, _xlfn.XLOOKUP(1,(LightSpec[Location]=Table2[[#This Row],[lookup Room]]) * (LightSpec[DiagNo]=Table2[[#This Row],[lookup Device]]),LightSpec[From]),
  _xlpm.n, LEN(_xlpm.txt),
  _xlpm.pos, MATCH(FALSE, ISNUMBER(MID(_xlpm.txt, ROW(INDIRECT("2:" &amp; _xlpm.n)), 1)*1), 0),
  LEFT(_xlpm.txt, _xlpm.pos)
)</f>
        <v>D5</v>
      </c>
      <c r="G239">
        <f>_xlfn.XLOOKUP(Table2[[#This Row],[Trigger]],SwitchButtons[switch],SwitchButtons[input])+Table2[[#This Row],[start]]</f>
        <v>0</v>
      </c>
      <c r="H239" t="s">
        <v>520</v>
      </c>
      <c r="I239" t="str">
        <f>_xlfn.XLOOKUP(Table2[[#This Row],[set1]],circuitoutputs[circuit],circuitoutputs[device])</f>
        <v>D5</v>
      </c>
      <c r="J239">
        <f>_xlfn.XLOOKUP(Table2[[#This Row],[set1]],circuitoutputs[circuit],circuitoutputs[output])</f>
        <v>0</v>
      </c>
      <c r="K239" t="s">
        <v>494</v>
      </c>
    </row>
    <row r="240" spans="1:11" hidden="1" x14ac:dyDescent="0.25">
      <c r="A240" t="s">
        <v>122</v>
      </c>
      <c r="B240" t="s">
        <v>192</v>
      </c>
      <c r="C240" cm="1">
        <f t="array" ref="C240">_xlfn.XLOOKUP(1,(LightSpec[Location]=Table2[[#This Row],[lookup Room]]) * (LightSpec[DiagNo]=Table2[[#This Row],[lookup Device]]), LightSpec[startinput])</f>
        <v>0</v>
      </c>
      <c r="D240" t="s">
        <v>445</v>
      </c>
      <c r="E240" t="s">
        <v>500</v>
      </c>
      <c r="F240" t="str" cm="1">
        <f t="array" aca="1" ref="F240" ca="1">_xlfn.LET(
  _xlpm.txt, _xlfn.XLOOKUP(1,(LightSpec[Location]=Table2[[#This Row],[lookup Room]]) * (LightSpec[DiagNo]=Table2[[#This Row],[lookup Device]]),LightSpec[From]),
  _xlpm.n, LEN(_xlpm.txt),
  _xlpm.pos, MATCH(FALSE, ISNUMBER(MID(_xlpm.txt, ROW(INDIRECT("2:" &amp; _xlpm.n)), 1)*1), 0),
  LEFT(_xlpm.txt, _xlpm.pos)
)</f>
        <v>D5</v>
      </c>
      <c r="G240">
        <f>_xlfn.XLOOKUP(Table2[[#This Row],[Trigger]],SwitchButtons[switch],SwitchButtons[input])+Table2[[#This Row],[start]]</f>
        <v>0</v>
      </c>
      <c r="H240" t="s">
        <v>557</v>
      </c>
      <c r="I240" t="str">
        <f>_xlfn.XLOOKUP(Table2[[#This Row],[set1]],circuitoutputs[circuit],circuitoutputs[device])</f>
        <v>D5</v>
      </c>
      <c r="J240">
        <f>_xlfn.XLOOKUP(Table2[[#This Row],[set1]],circuitoutputs[circuit],circuitoutputs[output])</f>
        <v>1</v>
      </c>
      <c r="K240" t="s">
        <v>494</v>
      </c>
    </row>
    <row r="241" spans="1:11" hidden="1" x14ac:dyDescent="0.25">
      <c r="A241" t="s">
        <v>122</v>
      </c>
      <c r="B241" t="s">
        <v>192</v>
      </c>
      <c r="C241" cm="1">
        <f t="array" ref="C241">_xlfn.XLOOKUP(1,(LightSpec[Location]=Table2[[#This Row],[lookup Room]]) * (LightSpec[DiagNo]=Table2[[#This Row],[lookup Device]]), LightSpec[startinput])</f>
        <v>0</v>
      </c>
      <c r="D241" t="s">
        <v>445</v>
      </c>
      <c r="E241" t="s">
        <v>500</v>
      </c>
      <c r="F241" t="str" cm="1">
        <f t="array" aca="1" ref="F241" ca="1">_xlfn.LET(
  _xlpm.txt, _xlfn.XLOOKUP(1,(LightSpec[Location]=Table2[[#This Row],[lookup Room]]) * (LightSpec[DiagNo]=Table2[[#This Row],[lookup Device]]),LightSpec[From]),
  _xlpm.n, LEN(_xlpm.txt),
  _xlpm.pos, MATCH(FALSE, ISNUMBER(MID(_xlpm.txt, ROW(INDIRECT("2:" &amp; _xlpm.n)), 1)*1), 0),
  LEFT(_xlpm.txt, _xlpm.pos)
)</f>
        <v>D5</v>
      </c>
      <c r="G241">
        <f>_xlfn.XLOOKUP(Table2[[#This Row],[Trigger]],SwitchButtons[switch],SwitchButtons[input])+Table2[[#This Row],[start]]</f>
        <v>0</v>
      </c>
      <c r="H241" t="s">
        <v>522</v>
      </c>
      <c r="I241" t="str">
        <f>_xlfn.XLOOKUP(Table2[[#This Row],[set1]],circuitoutputs[circuit],circuitoutputs[device])</f>
        <v>D7</v>
      </c>
      <c r="J241">
        <f>_xlfn.XLOOKUP(Table2[[#This Row],[set1]],circuitoutputs[circuit],circuitoutputs[output])</f>
        <v>0</v>
      </c>
      <c r="K241" t="s">
        <v>494</v>
      </c>
    </row>
    <row r="242" spans="1:11" hidden="1" x14ac:dyDescent="0.25">
      <c r="A242" t="s">
        <v>122</v>
      </c>
      <c r="B242" t="s">
        <v>192</v>
      </c>
      <c r="C242" cm="1">
        <f t="array" ref="C242">_xlfn.XLOOKUP(1,(LightSpec[Location]=Table2[[#This Row],[lookup Room]]) * (LightSpec[DiagNo]=Table2[[#This Row],[lookup Device]]), LightSpec[startinput])</f>
        <v>0</v>
      </c>
      <c r="D242" t="s">
        <v>445</v>
      </c>
      <c r="E242" t="s">
        <v>500</v>
      </c>
      <c r="F242" t="str" cm="1">
        <f t="array" aca="1" ref="F242" ca="1">_xlfn.LET(
  _xlpm.txt, _xlfn.XLOOKUP(1,(LightSpec[Location]=Table2[[#This Row],[lookup Room]]) * (LightSpec[DiagNo]=Table2[[#This Row],[lookup Device]]),LightSpec[From]),
  _xlpm.n, LEN(_xlpm.txt),
  _xlpm.pos, MATCH(FALSE, ISNUMBER(MID(_xlpm.txt, ROW(INDIRECT("2:" &amp; _xlpm.n)), 1)*1), 0),
  LEFT(_xlpm.txt, _xlpm.pos)
)</f>
        <v>D5</v>
      </c>
      <c r="G242">
        <f>_xlfn.XLOOKUP(Table2[[#This Row],[Trigger]],SwitchButtons[switch],SwitchButtons[input])+Table2[[#This Row],[start]]</f>
        <v>0</v>
      </c>
      <c r="H242" t="s">
        <v>559</v>
      </c>
      <c r="I242" t="str">
        <f>_xlfn.XLOOKUP(Table2[[#This Row],[set1]],circuitoutputs[circuit],circuitoutputs[device])</f>
        <v>D7</v>
      </c>
      <c r="J242">
        <f>_xlfn.XLOOKUP(Table2[[#This Row],[set1]],circuitoutputs[circuit],circuitoutputs[output])</f>
        <v>1</v>
      </c>
      <c r="K242" t="s">
        <v>494</v>
      </c>
    </row>
    <row r="243" spans="1:11" hidden="1" x14ac:dyDescent="0.25">
      <c r="A243" t="s">
        <v>122</v>
      </c>
      <c r="B243" t="s">
        <v>192</v>
      </c>
      <c r="C243" cm="1">
        <f t="array" ref="C243">_xlfn.XLOOKUP(1,(LightSpec[Location]=Table2[[#This Row],[lookup Room]]) * (LightSpec[DiagNo]=Table2[[#This Row],[lookup Device]]), LightSpec[startinput])</f>
        <v>0</v>
      </c>
      <c r="D243" t="s">
        <v>445</v>
      </c>
      <c r="E243" t="s">
        <v>500</v>
      </c>
      <c r="F243" t="str" cm="1">
        <f t="array" aca="1" ref="F243" ca="1">_xlfn.LET(
  _xlpm.txt, _xlfn.XLOOKUP(1,(LightSpec[Location]=Table2[[#This Row],[lookup Room]]) * (LightSpec[DiagNo]=Table2[[#This Row],[lookup Device]]),LightSpec[From]),
  _xlpm.n, LEN(_xlpm.txt),
  _xlpm.pos, MATCH(FALSE, ISNUMBER(MID(_xlpm.txt, ROW(INDIRECT("2:" &amp; _xlpm.n)), 1)*1), 0),
  LEFT(_xlpm.txt, _xlpm.pos)
)</f>
        <v>D5</v>
      </c>
      <c r="G243">
        <f>_xlfn.XLOOKUP(Table2[[#This Row],[Trigger]],SwitchButtons[switch],SwitchButtons[input])+Table2[[#This Row],[start]]</f>
        <v>0</v>
      </c>
      <c r="H243" t="s">
        <v>523</v>
      </c>
      <c r="I243" t="str">
        <f>_xlfn.XLOOKUP(Table2[[#This Row],[set1]],circuitoutputs[circuit],circuitoutputs[device])</f>
        <v>D8</v>
      </c>
      <c r="J243">
        <f>_xlfn.XLOOKUP(Table2[[#This Row],[set1]],circuitoutputs[circuit],circuitoutputs[output])</f>
        <v>0</v>
      </c>
      <c r="K243" t="s">
        <v>494</v>
      </c>
    </row>
    <row r="244" spans="1:11" hidden="1" x14ac:dyDescent="0.25">
      <c r="A244" t="s">
        <v>122</v>
      </c>
      <c r="B244" t="s">
        <v>192</v>
      </c>
      <c r="C244" cm="1">
        <f t="array" ref="C244">_xlfn.XLOOKUP(1,(LightSpec[Location]=Table2[[#This Row],[lookup Room]]) * (LightSpec[DiagNo]=Table2[[#This Row],[lookup Device]]), LightSpec[startinput])</f>
        <v>0</v>
      </c>
      <c r="D244" t="s">
        <v>445</v>
      </c>
      <c r="E244" t="s">
        <v>500</v>
      </c>
      <c r="F244" t="str" cm="1">
        <f t="array" aca="1" ref="F244" ca="1">_xlfn.LET(
  _xlpm.txt, _xlfn.XLOOKUP(1,(LightSpec[Location]=Table2[[#This Row],[lookup Room]]) * (LightSpec[DiagNo]=Table2[[#This Row],[lookup Device]]),LightSpec[From]),
  _xlpm.n, LEN(_xlpm.txt),
  _xlpm.pos, MATCH(FALSE, ISNUMBER(MID(_xlpm.txt, ROW(INDIRECT("2:" &amp; _xlpm.n)), 1)*1), 0),
  LEFT(_xlpm.txt, _xlpm.pos)
)</f>
        <v>D5</v>
      </c>
      <c r="G244">
        <f>_xlfn.XLOOKUP(Table2[[#This Row],[Trigger]],SwitchButtons[switch],SwitchButtons[input])+Table2[[#This Row],[start]]</f>
        <v>0</v>
      </c>
      <c r="H244" t="s">
        <v>560</v>
      </c>
      <c r="I244" t="str">
        <f>_xlfn.XLOOKUP(Table2[[#This Row],[set1]],circuitoutputs[circuit],circuitoutputs[device])</f>
        <v>D8</v>
      </c>
      <c r="J244">
        <f>_xlfn.XLOOKUP(Table2[[#This Row],[set1]],circuitoutputs[circuit],circuitoutputs[output])</f>
        <v>1</v>
      </c>
      <c r="K244" t="s">
        <v>494</v>
      </c>
    </row>
    <row r="245" spans="1:11" hidden="1" x14ac:dyDescent="0.25">
      <c r="A245" t="s">
        <v>122</v>
      </c>
      <c r="B245" t="s">
        <v>192</v>
      </c>
      <c r="C245" cm="1">
        <f t="array" ref="C245">_xlfn.XLOOKUP(1,(LightSpec[Location]=Table2[[#This Row],[lookup Room]]) * (LightSpec[DiagNo]=Table2[[#This Row],[lookup Device]]), LightSpec[startinput])</f>
        <v>0</v>
      </c>
      <c r="D245" t="s">
        <v>445</v>
      </c>
      <c r="E245" t="s">
        <v>500</v>
      </c>
      <c r="F245" t="str" cm="1">
        <f t="array" aca="1" ref="F245" ca="1">_xlfn.LET(
  _xlpm.txt, _xlfn.XLOOKUP(1,(LightSpec[Location]=Table2[[#This Row],[lookup Room]]) * (LightSpec[DiagNo]=Table2[[#This Row],[lookup Device]]),LightSpec[From]),
  _xlpm.n, LEN(_xlpm.txt),
  _xlpm.pos, MATCH(FALSE, ISNUMBER(MID(_xlpm.txt, ROW(INDIRECT("2:" &amp; _xlpm.n)), 1)*1), 0),
  LEFT(_xlpm.txt, _xlpm.pos)
)</f>
        <v>D5</v>
      </c>
      <c r="G245">
        <f>_xlfn.XLOOKUP(Table2[[#This Row],[Trigger]],SwitchButtons[switch],SwitchButtons[input])+Table2[[#This Row],[start]]</f>
        <v>0</v>
      </c>
      <c r="H245" t="s">
        <v>513</v>
      </c>
      <c r="I245" t="str">
        <f>_xlfn.XLOOKUP(Table2[[#This Row],[set1]],circuitoutputs[circuit],circuitoutputs[device])</f>
        <v>P4</v>
      </c>
      <c r="J245">
        <f>_xlfn.XLOOKUP(Table2[[#This Row],[set1]],circuitoutputs[circuit],circuitoutputs[output])</f>
        <v>0</v>
      </c>
      <c r="K245" t="s">
        <v>494</v>
      </c>
    </row>
    <row r="246" spans="1:11" hidden="1" x14ac:dyDescent="0.25">
      <c r="A246" t="s">
        <v>122</v>
      </c>
      <c r="B246" t="s">
        <v>192</v>
      </c>
      <c r="C246" cm="1">
        <f t="array" ref="C246">_xlfn.XLOOKUP(1,(LightSpec[Location]=Table2[[#This Row],[lookup Room]]) * (LightSpec[DiagNo]=Table2[[#This Row],[lookup Device]]), LightSpec[startinput])</f>
        <v>0</v>
      </c>
      <c r="D246" t="s">
        <v>445</v>
      </c>
      <c r="E246" t="s">
        <v>500</v>
      </c>
      <c r="F246" t="str" cm="1">
        <f t="array" aca="1" ref="F246" ca="1">_xlfn.LET(
  _xlpm.txt, _xlfn.XLOOKUP(1,(LightSpec[Location]=Table2[[#This Row],[lookup Room]]) * (LightSpec[DiagNo]=Table2[[#This Row],[lookup Device]]),LightSpec[From]),
  _xlpm.n, LEN(_xlpm.txt),
  _xlpm.pos, MATCH(FALSE, ISNUMBER(MID(_xlpm.txt, ROW(INDIRECT("2:" &amp; _xlpm.n)), 1)*1), 0),
  LEFT(_xlpm.txt, _xlpm.pos)
)</f>
        <v>D5</v>
      </c>
      <c r="G246">
        <f>_xlfn.XLOOKUP(Table2[[#This Row],[Trigger]],SwitchButtons[switch],SwitchButtons[input])+Table2[[#This Row],[start]]</f>
        <v>0</v>
      </c>
      <c r="H246" t="s">
        <v>561</v>
      </c>
      <c r="I246" t="str">
        <f>_xlfn.XLOOKUP(Table2[[#This Row],[set1]],circuitoutputs[circuit],circuitoutputs[device])</f>
        <v>D9</v>
      </c>
      <c r="J246">
        <f>_xlfn.XLOOKUP(Table2[[#This Row],[set1]],circuitoutputs[circuit],circuitoutputs[output])</f>
        <v>1</v>
      </c>
      <c r="K246" t="s">
        <v>494</v>
      </c>
    </row>
    <row r="247" spans="1:11" hidden="1" x14ac:dyDescent="0.25">
      <c r="A247" t="s">
        <v>122</v>
      </c>
      <c r="B247" t="s">
        <v>192</v>
      </c>
      <c r="C247" cm="1">
        <f t="array" ref="C247">_xlfn.XLOOKUP(1,(LightSpec[Location]=Table2[[#This Row],[lookup Room]]) * (LightSpec[DiagNo]=Table2[[#This Row],[lookup Device]]), LightSpec[startinput])</f>
        <v>0</v>
      </c>
      <c r="D247" t="s">
        <v>445</v>
      </c>
      <c r="E247" t="s">
        <v>500</v>
      </c>
      <c r="F247" t="str" cm="1">
        <f t="array" aca="1" ref="F247" ca="1">_xlfn.LET(
  _xlpm.txt, _xlfn.XLOOKUP(1,(LightSpec[Location]=Table2[[#This Row],[lookup Room]]) * (LightSpec[DiagNo]=Table2[[#This Row],[lookup Device]]),LightSpec[From]),
  _xlpm.n, LEN(_xlpm.txt),
  _xlpm.pos, MATCH(FALSE, ISNUMBER(MID(_xlpm.txt, ROW(INDIRECT("2:" &amp; _xlpm.n)), 1)*1), 0),
  LEFT(_xlpm.txt, _xlpm.pos)
)</f>
        <v>D5</v>
      </c>
      <c r="G247">
        <f>_xlfn.XLOOKUP(Table2[[#This Row],[Trigger]],SwitchButtons[switch],SwitchButtons[input])+Table2[[#This Row],[start]]</f>
        <v>0</v>
      </c>
      <c r="H247" t="s">
        <v>525</v>
      </c>
      <c r="I247" t="str">
        <f>_xlfn.XLOOKUP(Table2[[#This Row],[set1]],circuitoutputs[circuit],circuitoutputs[device])</f>
        <v>D10</v>
      </c>
      <c r="J247">
        <f>_xlfn.XLOOKUP(Table2[[#This Row],[set1]],circuitoutputs[circuit],circuitoutputs[output])</f>
        <v>0</v>
      </c>
      <c r="K247" t="s">
        <v>494</v>
      </c>
    </row>
    <row r="248" spans="1:11" hidden="1" x14ac:dyDescent="0.25">
      <c r="A248" t="s">
        <v>122</v>
      </c>
      <c r="B248" t="s">
        <v>192</v>
      </c>
      <c r="C248" cm="1">
        <f t="array" ref="C248">_xlfn.XLOOKUP(1,(LightSpec[Location]=Table2[[#This Row],[lookup Room]]) * (LightSpec[DiagNo]=Table2[[#This Row],[lookup Device]]), LightSpec[startinput])</f>
        <v>0</v>
      </c>
      <c r="D248" t="s">
        <v>445</v>
      </c>
      <c r="E248" t="s">
        <v>501</v>
      </c>
      <c r="F248" t="str" cm="1">
        <f t="array" aca="1" ref="F248" ca="1">_xlfn.LET(
  _xlpm.txt, _xlfn.XLOOKUP(1,(LightSpec[Location]=Table2[[#This Row],[lookup Room]]) * (LightSpec[DiagNo]=Table2[[#This Row],[lookup Device]]),LightSpec[From]),
  _xlpm.n, LEN(_xlpm.txt),
  _xlpm.pos, MATCH(FALSE, ISNUMBER(MID(_xlpm.txt, ROW(INDIRECT("2:" &amp; _xlpm.n)), 1)*1), 0),
  LEFT(_xlpm.txt, _xlpm.pos)
)</f>
        <v>D5</v>
      </c>
      <c r="G248">
        <f>_xlfn.XLOOKUP(Table2[[#This Row],[Trigger]],SwitchButtons[switch],SwitchButtons[input])+Table2[[#This Row],[start]]</f>
        <v>0</v>
      </c>
      <c r="H248" t="s">
        <v>520</v>
      </c>
      <c r="I248" t="str">
        <f>_xlfn.XLOOKUP(Table2[[#This Row],[set1]],circuitoutputs[circuit],circuitoutputs[device])</f>
        <v>D5</v>
      </c>
      <c r="J248">
        <f>_xlfn.XLOOKUP(Table2[[#This Row],[set1]],circuitoutputs[circuit],circuitoutputs[output])</f>
        <v>0</v>
      </c>
      <c r="K248" t="s">
        <v>495</v>
      </c>
    </row>
    <row r="249" spans="1:11" hidden="1" x14ac:dyDescent="0.25">
      <c r="A249" t="s">
        <v>122</v>
      </c>
      <c r="B249" t="s">
        <v>192</v>
      </c>
      <c r="C249" cm="1">
        <f t="array" ref="C249">_xlfn.XLOOKUP(1,(LightSpec[Location]=Table2[[#This Row],[lookup Room]]) * (LightSpec[DiagNo]=Table2[[#This Row],[lookup Device]]), LightSpec[startinput])</f>
        <v>0</v>
      </c>
      <c r="D249" t="s">
        <v>445</v>
      </c>
      <c r="E249" t="s">
        <v>501</v>
      </c>
      <c r="F249" t="str" cm="1">
        <f t="array" aca="1" ref="F249" ca="1">_xlfn.LET(
  _xlpm.txt, _xlfn.XLOOKUP(1,(LightSpec[Location]=Table2[[#This Row],[lookup Room]]) * (LightSpec[DiagNo]=Table2[[#This Row],[lookup Device]]),LightSpec[From]),
  _xlpm.n, LEN(_xlpm.txt),
  _xlpm.pos, MATCH(FALSE, ISNUMBER(MID(_xlpm.txt, ROW(INDIRECT("2:" &amp; _xlpm.n)), 1)*1), 0),
  LEFT(_xlpm.txt, _xlpm.pos)
)</f>
        <v>D5</v>
      </c>
      <c r="G249">
        <f>_xlfn.XLOOKUP(Table2[[#This Row],[Trigger]],SwitchButtons[switch],SwitchButtons[input])+Table2[[#This Row],[start]]</f>
        <v>0</v>
      </c>
      <c r="H249" t="s">
        <v>557</v>
      </c>
      <c r="I249" t="str">
        <f>_xlfn.XLOOKUP(Table2[[#This Row],[set1]],circuitoutputs[circuit],circuitoutputs[device])</f>
        <v>D5</v>
      </c>
      <c r="J249">
        <f>_xlfn.XLOOKUP(Table2[[#This Row],[set1]],circuitoutputs[circuit],circuitoutputs[output])</f>
        <v>1</v>
      </c>
      <c r="K249" t="s">
        <v>595</v>
      </c>
    </row>
    <row r="250" spans="1:11" hidden="1" x14ac:dyDescent="0.25">
      <c r="A250" t="s">
        <v>122</v>
      </c>
      <c r="B250" t="s">
        <v>192</v>
      </c>
      <c r="C250" cm="1">
        <f t="array" ref="C250">_xlfn.XLOOKUP(1,(LightSpec[Location]=Table2[[#This Row],[lookup Room]]) * (LightSpec[DiagNo]=Table2[[#This Row],[lookup Device]]), LightSpec[startinput])</f>
        <v>0</v>
      </c>
      <c r="D250" t="s">
        <v>445</v>
      </c>
      <c r="E250" t="s">
        <v>501</v>
      </c>
      <c r="F250" t="str" cm="1">
        <f t="array" aca="1" ref="F250" ca="1">_xlfn.LET(
  _xlpm.txt, _xlfn.XLOOKUP(1,(LightSpec[Location]=Table2[[#This Row],[lookup Room]]) * (LightSpec[DiagNo]=Table2[[#This Row],[lookup Device]]),LightSpec[From]),
  _xlpm.n, LEN(_xlpm.txt),
  _xlpm.pos, MATCH(FALSE, ISNUMBER(MID(_xlpm.txt, ROW(INDIRECT("2:" &amp; _xlpm.n)), 1)*1), 0),
  LEFT(_xlpm.txt, _xlpm.pos)
)</f>
        <v>D5</v>
      </c>
      <c r="G250">
        <f>_xlfn.XLOOKUP(Table2[[#This Row],[Trigger]],SwitchButtons[switch],SwitchButtons[input])+Table2[[#This Row],[start]]</f>
        <v>0</v>
      </c>
      <c r="H250" t="s">
        <v>522</v>
      </c>
      <c r="I250" t="str">
        <f>_xlfn.XLOOKUP(Table2[[#This Row],[set1]],circuitoutputs[circuit],circuitoutputs[device])</f>
        <v>D7</v>
      </c>
      <c r="J250">
        <f>_xlfn.XLOOKUP(Table2[[#This Row],[set1]],circuitoutputs[circuit],circuitoutputs[output])</f>
        <v>0</v>
      </c>
      <c r="K250" t="s">
        <v>593</v>
      </c>
    </row>
    <row r="251" spans="1:11" hidden="1" x14ac:dyDescent="0.25">
      <c r="A251" t="s">
        <v>122</v>
      </c>
      <c r="B251" t="s">
        <v>192</v>
      </c>
      <c r="C251" cm="1">
        <f t="array" ref="C251">_xlfn.XLOOKUP(1,(LightSpec[Location]=Table2[[#This Row],[lookup Room]]) * (LightSpec[DiagNo]=Table2[[#This Row],[lookup Device]]), LightSpec[startinput])</f>
        <v>0</v>
      </c>
      <c r="D251" t="s">
        <v>445</v>
      </c>
      <c r="E251" t="s">
        <v>501</v>
      </c>
      <c r="F251" t="str" cm="1">
        <f t="array" aca="1" ref="F251" ca="1">_xlfn.LET(
  _xlpm.txt, _xlfn.XLOOKUP(1,(LightSpec[Location]=Table2[[#This Row],[lookup Room]]) * (LightSpec[DiagNo]=Table2[[#This Row],[lookup Device]]),LightSpec[From]),
  _xlpm.n, LEN(_xlpm.txt),
  _xlpm.pos, MATCH(FALSE, ISNUMBER(MID(_xlpm.txt, ROW(INDIRECT("2:" &amp; _xlpm.n)), 1)*1), 0),
  LEFT(_xlpm.txt, _xlpm.pos)
)</f>
        <v>D5</v>
      </c>
      <c r="G251">
        <f>_xlfn.XLOOKUP(Table2[[#This Row],[Trigger]],SwitchButtons[switch],SwitchButtons[input])+Table2[[#This Row],[start]]</f>
        <v>0</v>
      </c>
      <c r="H251" t="s">
        <v>559</v>
      </c>
      <c r="I251" t="str">
        <f>_xlfn.XLOOKUP(Table2[[#This Row],[set1]],circuitoutputs[circuit],circuitoutputs[device])</f>
        <v>D7</v>
      </c>
      <c r="J251">
        <f>_xlfn.XLOOKUP(Table2[[#This Row],[set1]],circuitoutputs[circuit],circuitoutputs[output])</f>
        <v>1</v>
      </c>
      <c r="K251" t="s">
        <v>593</v>
      </c>
    </row>
    <row r="252" spans="1:11" hidden="1" x14ac:dyDescent="0.25">
      <c r="A252" t="s">
        <v>122</v>
      </c>
      <c r="B252" t="s">
        <v>192</v>
      </c>
      <c r="C252" cm="1">
        <f t="array" ref="C252">_xlfn.XLOOKUP(1,(LightSpec[Location]=Table2[[#This Row],[lookup Room]]) * (LightSpec[DiagNo]=Table2[[#This Row],[lookup Device]]), LightSpec[startinput])</f>
        <v>0</v>
      </c>
      <c r="D252" t="s">
        <v>445</v>
      </c>
      <c r="E252" t="s">
        <v>501</v>
      </c>
      <c r="F252" t="str" cm="1">
        <f t="array" aca="1" ref="F252" ca="1">_xlfn.LET(
  _xlpm.txt, _xlfn.XLOOKUP(1,(LightSpec[Location]=Table2[[#This Row],[lookup Room]]) * (LightSpec[DiagNo]=Table2[[#This Row],[lookup Device]]),LightSpec[From]),
  _xlpm.n, LEN(_xlpm.txt),
  _xlpm.pos, MATCH(FALSE, ISNUMBER(MID(_xlpm.txt, ROW(INDIRECT("2:" &amp; _xlpm.n)), 1)*1), 0),
  LEFT(_xlpm.txt, _xlpm.pos)
)</f>
        <v>D5</v>
      </c>
      <c r="G252">
        <f>_xlfn.XLOOKUP(Table2[[#This Row],[Trigger]],SwitchButtons[switch],SwitchButtons[input])+Table2[[#This Row],[start]]</f>
        <v>0</v>
      </c>
      <c r="H252" t="s">
        <v>523</v>
      </c>
      <c r="I252" t="str">
        <f>_xlfn.XLOOKUP(Table2[[#This Row],[set1]],circuitoutputs[circuit],circuitoutputs[device])</f>
        <v>D8</v>
      </c>
      <c r="J252">
        <f>_xlfn.XLOOKUP(Table2[[#This Row],[set1]],circuitoutputs[circuit],circuitoutputs[output])</f>
        <v>0</v>
      </c>
      <c r="K252" t="s">
        <v>495</v>
      </c>
    </row>
    <row r="253" spans="1:11" hidden="1" x14ac:dyDescent="0.25">
      <c r="A253" t="s">
        <v>122</v>
      </c>
      <c r="B253" t="s">
        <v>192</v>
      </c>
      <c r="C253" cm="1">
        <f t="array" ref="C253">_xlfn.XLOOKUP(1,(LightSpec[Location]=Table2[[#This Row],[lookup Room]]) * (LightSpec[DiagNo]=Table2[[#This Row],[lookup Device]]), LightSpec[startinput])</f>
        <v>0</v>
      </c>
      <c r="D253" t="s">
        <v>445</v>
      </c>
      <c r="E253" t="s">
        <v>501</v>
      </c>
      <c r="F253" t="str" cm="1">
        <f t="array" aca="1" ref="F253" ca="1">_xlfn.LET(
  _xlpm.txt, _xlfn.XLOOKUP(1,(LightSpec[Location]=Table2[[#This Row],[lookup Room]]) * (LightSpec[DiagNo]=Table2[[#This Row],[lookup Device]]),LightSpec[From]),
  _xlpm.n, LEN(_xlpm.txt),
  _xlpm.pos, MATCH(FALSE, ISNUMBER(MID(_xlpm.txt, ROW(INDIRECT("2:" &amp; _xlpm.n)), 1)*1), 0),
  LEFT(_xlpm.txt, _xlpm.pos)
)</f>
        <v>D5</v>
      </c>
      <c r="G253">
        <f>_xlfn.XLOOKUP(Table2[[#This Row],[Trigger]],SwitchButtons[switch],SwitchButtons[input])+Table2[[#This Row],[start]]</f>
        <v>0</v>
      </c>
      <c r="H253" t="s">
        <v>560</v>
      </c>
      <c r="I253" t="str">
        <f>_xlfn.XLOOKUP(Table2[[#This Row],[set1]],circuitoutputs[circuit],circuitoutputs[device])</f>
        <v>D8</v>
      </c>
      <c r="J253">
        <f>_xlfn.XLOOKUP(Table2[[#This Row],[set1]],circuitoutputs[circuit],circuitoutputs[output])</f>
        <v>1</v>
      </c>
      <c r="K253" t="s">
        <v>593</v>
      </c>
    </row>
    <row r="254" spans="1:11" hidden="1" x14ac:dyDescent="0.25">
      <c r="A254" t="s">
        <v>122</v>
      </c>
      <c r="B254" t="s">
        <v>192</v>
      </c>
      <c r="C254" cm="1">
        <f t="array" ref="C254">_xlfn.XLOOKUP(1,(LightSpec[Location]=Table2[[#This Row],[lookup Room]]) * (LightSpec[DiagNo]=Table2[[#This Row],[lookup Device]]), LightSpec[startinput])</f>
        <v>0</v>
      </c>
      <c r="D254" t="s">
        <v>445</v>
      </c>
      <c r="E254" t="s">
        <v>501</v>
      </c>
      <c r="F254" t="str" cm="1">
        <f t="array" aca="1" ref="F254" ca="1">_xlfn.LET(
  _xlpm.txt, _xlfn.XLOOKUP(1,(LightSpec[Location]=Table2[[#This Row],[lookup Room]]) * (LightSpec[DiagNo]=Table2[[#This Row],[lookup Device]]),LightSpec[From]),
  _xlpm.n, LEN(_xlpm.txt),
  _xlpm.pos, MATCH(FALSE, ISNUMBER(MID(_xlpm.txt, ROW(INDIRECT("2:" &amp; _xlpm.n)), 1)*1), 0),
  LEFT(_xlpm.txt, _xlpm.pos)
)</f>
        <v>D5</v>
      </c>
      <c r="G254">
        <f>_xlfn.XLOOKUP(Table2[[#This Row],[Trigger]],SwitchButtons[switch],SwitchButtons[input])+Table2[[#This Row],[start]]</f>
        <v>0</v>
      </c>
      <c r="H254" t="s">
        <v>513</v>
      </c>
      <c r="I254" t="str">
        <f>_xlfn.XLOOKUP(Table2[[#This Row],[set1]],circuitoutputs[circuit],circuitoutputs[device])</f>
        <v>P4</v>
      </c>
      <c r="J254">
        <f>_xlfn.XLOOKUP(Table2[[#This Row],[set1]],circuitoutputs[circuit],circuitoutputs[output])</f>
        <v>0</v>
      </c>
      <c r="K254" t="s">
        <v>593</v>
      </c>
    </row>
    <row r="255" spans="1:11" hidden="1" x14ac:dyDescent="0.25">
      <c r="A255" t="s">
        <v>122</v>
      </c>
      <c r="B255" t="s">
        <v>192</v>
      </c>
      <c r="C255" cm="1">
        <f t="array" ref="C255">_xlfn.XLOOKUP(1,(LightSpec[Location]=Table2[[#This Row],[lookup Room]]) * (LightSpec[DiagNo]=Table2[[#This Row],[lookup Device]]), LightSpec[startinput])</f>
        <v>0</v>
      </c>
      <c r="D255" t="s">
        <v>445</v>
      </c>
      <c r="E255" t="s">
        <v>501</v>
      </c>
      <c r="F255" t="str" cm="1">
        <f t="array" aca="1" ref="F255" ca="1">_xlfn.LET(
  _xlpm.txt, _xlfn.XLOOKUP(1,(LightSpec[Location]=Table2[[#This Row],[lookup Room]]) * (LightSpec[DiagNo]=Table2[[#This Row],[lookup Device]]),LightSpec[From]),
  _xlpm.n, LEN(_xlpm.txt),
  _xlpm.pos, MATCH(FALSE, ISNUMBER(MID(_xlpm.txt, ROW(INDIRECT("2:" &amp; _xlpm.n)), 1)*1), 0),
  LEFT(_xlpm.txt, _xlpm.pos)
)</f>
        <v>D5</v>
      </c>
      <c r="G255">
        <f>_xlfn.XLOOKUP(Table2[[#This Row],[Trigger]],SwitchButtons[switch],SwitchButtons[input])+Table2[[#This Row],[start]]</f>
        <v>0</v>
      </c>
      <c r="H255" t="s">
        <v>561</v>
      </c>
      <c r="I255" t="str">
        <f>_xlfn.XLOOKUP(Table2[[#This Row],[set1]],circuitoutputs[circuit],circuitoutputs[device])</f>
        <v>D9</v>
      </c>
      <c r="J255">
        <f>_xlfn.XLOOKUP(Table2[[#This Row],[set1]],circuitoutputs[circuit],circuitoutputs[output])</f>
        <v>1</v>
      </c>
      <c r="K255" t="s">
        <v>593</v>
      </c>
    </row>
    <row r="256" spans="1:11" hidden="1" x14ac:dyDescent="0.25">
      <c r="A256" t="s">
        <v>122</v>
      </c>
      <c r="B256" t="s">
        <v>192</v>
      </c>
      <c r="C256" cm="1">
        <f t="array" ref="C256">_xlfn.XLOOKUP(1,(LightSpec[Location]=Table2[[#This Row],[lookup Room]]) * (LightSpec[DiagNo]=Table2[[#This Row],[lookup Device]]), LightSpec[startinput])</f>
        <v>0</v>
      </c>
      <c r="D256" t="s">
        <v>445</v>
      </c>
      <c r="E256" t="s">
        <v>501</v>
      </c>
      <c r="F256" t="str" cm="1">
        <f t="array" aca="1" ref="F256" ca="1">_xlfn.LET(
  _xlpm.txt, _xlfn.XLOOKUP(1,(LightSpec[Location]=Table2[[#This Row],[lookup Room]]) * (LightSpec[DiagNo]=Table2[[#This Row],[lookup Device]]),LightSpec[From]),
  _xlpm.n, LEN(_xlpm.txt),
  _xlpm.pos, MATCH(FALSE, ISNUMBER(MID(_xlpm.txt, ROW(INDIRECT("2:" &amp; _xlpm.n)), 1)*1), 0),
  LEFT(_xlpm.txt, _xlpm.pos)
)</f>
        <v>D5</v>
      </c>
      <c r="G256">
        <f>_xlfn.XLOOKUP(Table2[[#This Row],[Trigger]],SwitchButtons[switch],SwitchButtons[input])+Table2[[#This Row],[start]]</f>
        <v>0</v>
      </c>
      <c r="H256" t="s">
        <v>525</v>
      </c>
      <c r="I256" t="str">
        <f>_xlfn.XLOOKUP(Table2[[#This Row],[set1]],circuitoutputs[circuit],circuitoutputs[device])</f>
        <v>D10</v>
      </c>
      <c r="J256">
        <f>_xlfn.XLOOKUP(Table2[[#This Row],[set1]],circuitoutputs[circuit],circuitoutputs[output])</f>
        <v>0</v>
      </c>
      <c r="K256" t="s">
        <v>593</v>
      </c>
    </row>
    <row r="257" spans="1:11" hidden="1" x14ac:dyDescent="0.25">
      <c r="A257" t="s">
        <v>122</v>
      </c>
      <c r="B257" t="s">
        <v>192</v>
      </c>
      <c r="C257" cm="1">
        <f t="array" ref="C257">_xlfn.XLOOKUP(1,(LightSpec[Location]=Table2[[#This Row],[lookup Room]]) * (LightSpec[DiagNo]=Table2[[#This Row],[lookup Device]]), LightSpec[startinput])</f>
        <v>0</v>
      </c>
      <c r="D257" t="s">
        <v>445</v>
      </c>
      <c r="E257" t="s">
        <v>503</v>
      </c>
      <c r="F257" t="str" cm="1">
        <f t="array" aca="1" ref="F257" ca="1">_xlfn.LET(
  _xlpm.txt, _xlfn.XLOOKUP(1,(LightSpec[Location]=Table2[[#This Row],[lookup Room]]) * (LightSpec[DiagNo]=Table2[[#This Row],[lookup Device]]),LightSpec[From]),
  _xlpm.n, LEN(_xlpm.txt),
  _xlpm.pos, MATCH(FALSE, ISNUMBER(MID(_xlpm.txt, ROW(INDIRECT("2:" &amp; _xlpm.n)), 1)*1), 0),
  LEFT(_xlpm.txt, _xlpm.pos)
)</f>
        <v>D5</v>
      </c>
      <c r="G257">
        <f>_xlfn.XLOOKUP(Table2[[#This Row],[Trigger]],SwitchButtons[switch],SwitchButtons[input])+Table2[[#This Row],[start]]</f>
        <v>0</v>
      </c>
      <c r="H257" t="s">
        <v>520</v>
      </c>
      <c r="I257" t="str">
        <f>_xlfn.XLOOKUP(Table2[[#This Row],[set1]],circuitoutputs[circuit],circuitoutputs[device])</f>
        <v>D5</v>
      </c>
      <c r="J257">
        <f>_xlfn.XLOOKUP(Table2[[#This Row],[set1]],circuitoutputs[circuit],circuitoutputs[output])</f>
        <v>0</v>
      </c>
      <c r="K257" t="s">
        <v>596</v>
      </c>
    </row>
    <row r="258" spans="1:11" hidden="1" x14ac:dyDescent="0.25">
      <c r="A258" t="s">
        <v>122</v>
      </c>
      <c r="B258" t="s">
        <v>192</v>
      </c>
      <c r="C258" cm="1">
        <f t="array" ref="C258">_xlfn.XLOOKUP(1,(LightSpec[Location]=Table2[[#This Row],[lookup Room]]) * (LightSpec[DiagNo]=Table2[[#This Row],[lookup Device]]), LightSpec[startinput])</f>
        <v>0</v>
      </c>
      <c r="D258" t="s">
        <v>445</v>
      </c>
      <c r="E258" t="s">
        <v>503</v>
      </c>
      <c r="F258" t="str" cm="1">
        <f t="array" aca="1" ref="F258" ca="1">_xlfn.LET(
  _xlpm.txt, _xlfn.XLOOKUP(1,(LightSpec[Location]=Table2[[#This Row],[lookup Room]]) * (LightSpec[DiagNo]=Table2[[#This Row],[lookup Device]]),LightSpec[From]),
  _xlpm.n, LEN(_xlpm.txt),
  _xlpm.pos, MATCH(FALSE, ISNUMBER(MID(_xlpm.txt, ROW(INDIRECT("2:" &amp; _xlpm.n)), 1)*1), 0),
  LEFT(_xlpm.txt, _xlpm.pos)
)</f>
        <v>D5</v>
      </c>
      <c r="G258">
        <f>_xlfn.XLOOKUP(Table2[[#This Row],[Trigger]],SwitchButtons[switch],SwitchButtons[input])+Table2[[#This Row],[start]]</f>
        <v>0</v>
      </c>
      <c r="H258" t="s">
        <v>557</v>
      </c>
      <c r="I258" t="str">
        <f>_xlfn.XLOOKUP(Table2[[#This Row],[set1]],circuitoutputs[circuit],circuitoutputs[device])</f>
        <v>D5</v>
      </c>
      <c r="J258">
        <f>_xlfn.XLOOKUP(Table2[[#This Row],[set1]],circuitoutputs[circuit],circuitoutputs[output])</f>
        <v>1</v>
      </c>
      <c r="K258" t="s">
        <v>596</v>
      </c>
    </row>
    <row r="259" spans="1:11" hidden="1" x14ac:dyDescent="0.25">
      <c r="A259" t="s">
        <v>122</v>
      </c>
      <c r="B259" t="s">
        <v>192</v>
      </c>
      <c r="C259" cm="1">
        <f t="array" ref="C259">_xlfn.XLOOKUP(1,(LightSpec[Location]=Table2[[#This Row],[lookup Room]]) * (LightSpec[DiagNo]=Table2[[#This Row],[lookup Device]]), LightSpec[startinput])</f>
        <v>0</v>
      </c>
      <c r="D259" t="s">
        <v>445</v>
      </c>
      <c r="E259" t="s">
        <v>503</v>
      </c>
      <c r="F259" t="str" cm="1">
        <f t="array" aca="1" ref="F259" ca="1">_xlfn.LET(
  _xlpm.txt, _xlfn.XLOOKUP(1,(LightSpec[Location]=Table2[[#This Row],[lookup Room]]) * (LightSpec[DiagNo]=Table2[[#This Row],[lookup Device]]),LightSpec[From]),
  _xlpm.n, LEN(_xlpm.txt),
  _xlpm.pos, MATCH(FALSE, ISNUMBER(MID(_xlpm.txt, ROW(INDIRECT("2:" &amp; _xlpm.n)), 1)*1), 0),
  LEFT(_xlpm.txt, _xlpm.pos)
)</f>
        <v>D5</v>
      </c>
      <c r="G259">
        <f>_xlfn.XLOOKUP(Table2[[#This Row],[Trigger]],SwitchButtons[switch],SwitchButtons[input])+Table2[[#This Row],[start]]</f>
        <v>0</v>
      </c>
      <c r="H259" t="s">
        <v>522</v>
      </c>
      <c r="I259" t="str">
        <f>_xlfn.XLOOKUP(Table2[[#This Row],[set1]],circuitoutputs[circuit],circuitoutputs[device])</f>
        <v>D7</v>
      </c>
      <c r="J259">
        <f>_xlfn.XLOOKUP(Table2[[#This Row],[set1]],circuitoutputs[circuit],circuitoutputs[output])</f>
        <v>0</v>
      </c>
      <c r="K259" t="s">
        <v>596</v>
      </c>
    </row>
    <row r="260" spans="1:11" hidden="1" x14ac:dyDescent="0.25">
      <c r="A260" t="s">
        <v>122</v>
      </c>
      <c r="B260" t="s">
        <v>192</v>
      </c>
      <c r="C260" cm="1">
        <f t="array" ref="C260">_xlfn.XLOOKUP(1,(LightSpec[Location]=Table2[[#This Row],[lookup Room]]) * (LightSpec[DiagNo]=Table2[[#This Row],[lookup Device]]), LightSpec[startinput])</f>
        <v>0</v>
      </c>
      <c r="D260" t="s">
        <v>445</v>
      </c>
      <c r="E260" t="s">
        <v>503</v>
      </c>
      <c r="F260" t="str" cm="1">
        <f t="array" aca="1" ref="F260" ca="1">_xlfn.LET(
  _xlpm.txt, _xlfn.XLOOKUP(1,(LightSpec[Location]=Table2[[#This Row],[lookup Room]]) * (LightSpec[DiagNo]=Table2[[#This Row],[lookup Device]]),LightSpec[From]),
  _xlpm.n, LEN(_xlpm.txt),
  _xlpm.pos, MATCH(FALSE, ISNUMBER(MID(_xlpm.txt, ROW(INDIRECT("2:" &amp; _xlpm.n)), 1)*1), 0),
  LEFT(_xlpm.txt, _xlpm.pos)
)</f>
        <v>D5</v>
      </c>
      <c r="G260">
        <f>_xlfn.XLOOKUP(Table2[[#This Row],[Trigger]],SwitchButtons[switch],SwitchButtons[input])+Table2[[#This Row],[start]]</f>
        <v>0</v>
      </c>
      <c r="H260" t="s">
        <v>559</v>
      </c>
      <c r="I260" t="str">
        <f>_xlfn.XLOOKUP(Table2[[#This Row],[set1]],circuitoutputs[circuit],circuitoutputs[device])</f>
        <v>D7</v>
      </c>
      <c r="J260">
        <f>_xlfn.XLOOKUP(Table2[[#This Row],[set1]],circuitoutputs[circuit],circuitoutputs[output])</f>
        <v>1</v>
      </c>
      <c r="K260" t="s">
        <v>596</v>
      </c>
    </row>
    <row r="261" spans="1:11" hidden="1" x14ac:dyDescent="0.25">
      <c r="A261" t="s">
        <v>122</v>
      </c>
      <c r="B261" t="s">
        <v>192</v>
      </c>
      <c r="C261" cm="1">
        <f t="array" ref="C261">_xlfn.XLOOKUP(1,(LightSpec[Location]=Table2[[#This Row],[lookup Room]]) * (LightSpec[DiagNo]=Table2[[#This Row],[lookup Device]]), LightSpec[startinput])</f>
        <v>0</v>
      </c>
      <c r="D261" t="s">
        <v>445</v>
      </c>
      <c r="E261" t="s">
        <v>503</v>
      </c>
      <c r="F261" t="str" cm="1">
        <f t="array" aca="1" ref="F261" ca="1">_xlfn.LET(
  _xlpm.txt, _xlfn.XLOOKUP(1,(LightSpec[Location]=Table2[[#This Row],[lookup Room]]) * (LightSpec[DiagNo]=Table2[[#This Row],[lookup Device]]),LightSpec[From]),
  _xlpm.n, LEN(_xlpm.txt),
  _xlpm.pos, MATCH(FALSE, ISNUMBER(MID(_xlpm.txt, ROW(INDIRECT("2:" &amp; _xlpm.n)), 1)*1), 0),
  LEFT(_xlpm.txt, _xlpm.pos)
)</f>
        <v>D5</v>
      </c>
      <c r="G261">
        <f>_xlfn.XLOOKUP(Table2[[#This Row],[Trigger]],SwitchButtons[switch],SwitchButtons[input])+Table2[[#This Row],[start]]</f>
        <v>0</v>
      </c>
      <c r="H261" t="s">
        <v>523</v>
      </c>
      <c r="I261" t="str">
        <f>_xlfn.XLOOKUP(Table2[[#This Row],[set1]],circuitoutputs[circuit],circuitoutputs[device])</f>
        <v>D8</v>
      </c>
      <c r="J261">
        <f>_xlfn.XLOOKUP(Table2[[#This Row],[set1]],circuitoutputs[circuit],circuitoutputs[output])</f>
        <v>0</v>
      </c>
      <c r="K261" t="s">
        <v>596</v>
      </c>
    </row>
    <row r="262" spans="1:11" hidden="1" x14ac:dyDescent="0.25">
      <c r="A262" t="s">
        <v>122</v>
      </c>
      <c r="B262" t="s">
        <v>192</v>
      </c>
      <c r="C262" cm="1">
        <f t="array" ref="C262">_xlfn.XLOOKUP(1,(LightSpec[Location]=Table2[[#This Row],[lookup Room]]) * (LightSpec[DiagNo]=Table2[[#This Row],[lookup Device]]), LightSpec[startinput])</f>
        <v>0</v>
      </c>
      <c r="D262" t="s">
        <v>445</v>
      </c>
      <c r="E262" t="s">
        <v>503</v>
      </c>
      <c r="F262" t="str" cm="1">
        <f t="array" aca="1" ref="F262" ca="1">_xlfn.LET(
  _xlpm.txt, _xlfn.XLOOKUP(1,(LightSpec[Location]=Table2[[#This Row],[lookup Room]]) * (LightSpec[DiagNo]=Table2[[#This Row],[lookup Device]]),LightSpec[From]),
  _xlpm.n, LEN(_xlpm.txt),
  _xlpm.pos, MATCH(FALSE, ISNUMBER(MID(_xlpm.txt, ROW(INDIRECT("2:" &amp; _xlpm.n)), 1)*1), 0),
  LEFT(_xlpm.txt, _xlpm.pos)
)</f>
        <v>D5</v>
      </c>
      <c r="G262">
        <f>_xlfn.XLOOKUP(Table2[[#This Row],[Trigger]],SwitchButtons[switch],SwitchButtons[input])+Table2[[#This Row],[start]]</f>
        <v>0</v>
      </c>
      <c r="H262" t="s">
        <v>560</v>
      </c>
      <c r="I262" t="str">
        <f>_xlfn.XLOOKUP(Table2[[#This Row],[set1]],circuitoutputs[circuit],circuitoutputs[device])</f>
        <v>D8</v>
      </c>
      <c r="J262">
        <f>_xlfn.XLOOKUP(Table2[[#This Row],[set1]],circuitoutputs[circuit],circuitoutputs[output])</f>
        <v>1</v>
      </c>
      <c r="K262" t="s">
        <v>596</v>
      </c>
    </row>
    <row r="263" spans="1:11" hidden="1" x14ac:dyDescent="0.25">
      <c r="A263" t="s">
        <v>122</v>
      </c>
      <c r="B263" t="s">
        <v>192</v>
      </c>
      <c r="C263" cm="1">
        <f t="array" ref="C263">_xlfn.XLOOKUP(1,(LightSpec[Location]=Table2[[#This Row],[lookup Room]]) * (LightSpec[DiagNo]=Table2[[#This Row],[lookup Device]]), LightSpec[startinput])</f>
        <v>0</v>
      </c>
      <c r="D263" t="s">
        <v>445</v>
      </c>
      <c r="E263" t="s">
        <v>503</v>
      </c>
      <c r="F263" t="str" cm="1">
        <f t="array" aca="1" ref="F263" ca="1">_xlfn.LET(
  _xlpm.txt, _xlfn.XLOOKUP(1,(LightSpec[Location]=Table2[[#This Row],[lookup Room]]) * (LightSpec[DiagNo]=Table2[[#This Row],[lookup Device]]),LightSpec[From]),
  _xlpm.n, LEN(_xlpm.txt),
  _xlpm.pos, MATCH(FALSE, ISNUMBER(MID(_xlpm.txt, ROW(INDIRECT("2:" &amp; _xlpm.n)), 1)*1), 0),
  LEFT(_xlpm.txt, _xlpm.pos)
)</f>
        <v>D5</v>
      </c>
      <c r="G263">
        <f>_xlfn.XLOOKUP(Table2[[#This Row],[Trigger]],SwitchButtons[switch],SwitchButtons[input])+Table2[[#This Row],[start]]</f>
        <v>0</v>
      </c>
      <c r="H263" t="s">
        <v>513</v>
      </c>
      <c r="I263" t="str">
        <f>_xlfn.XLOOKUP(Table2[[#This Row],[set1]],circuitoutputs[circuit],circuitoutputs[device])</f>
        <v>P4</v>
      </c>
      <c r="J263">
        <f>_xlfn.XLOOKUP(Table2[[#This Row],[set1]],circuitoutputs[circuit],circuitoutputs[output])</f>
        <v>0</v>
      </c>
      <c r="K263" t="s">
        <v>596</v>
      </c>
    </row>
    <row r="264" spans="1:11" hidden="1" x14ac:dyDescent="0.25">
      <c r="A264" t="s">
        <v>122</v>
      </c>
      <c r="B264" t="s">
        <v>192</v>
      </c>
      <c r="C264" cm="1">
        <f t="array" ref="C264">_xlfn.XLOOKUP(1,(LightSpec[Location]=Table2[[#This Row],[lookup Room]]) * (LightSpec[DiagNo]=Table2[[#This Row],[lookup Device]]), LightSpec[startinput])</f>
        <v>0</v>
      </c>
      <c r="D264" t="s">
        <v>445</v>
      </c>
      <c r="E264" t="s">
        <v>503</v>
      </c>
      <c r="F264" t="str" cm="1">
        <f t="array" aca="1" ref="F264" ca="1">_xlfn.LET(
  _xlpm.txt, _xlfn.XLOOKUP(1,(LightSpec[Location]=Table2[[#This Row],[lookup Room]]) * (LightSpec[DiagNo]=Table2[[#This Row],[lookup Device]]),LightSpec[From]),
  _xlpm.n, LEN(_xlpm.txt),
  _xlpm.pos, MATCH(FALSE, ISNUMBER(MID(_xlpm.txt, ROW(INDIRECT("2:" &amp; _xlpm.n)), 1)*1), 0),
  LEFT(_xlpm.txt, _xlpm.pos)
)</f>
        <v>D5</v>
      </c>
      <c r="G264">
        <f>_xlfn.XLOOKUP(Table2[[#This Row],[Trigger]],SwitchButtons[switch],SwitchButtons[input])+Table2[[#This Row],[start]]</f>
        <v>0</v>
      </c>
      <c r="H264" t="s">
        <v>561</v>
      </c>
      <c r="I264" t="str">
        <f>_xlfn.XLOOKUP(Table2[[#This Row],[set1]],circuitoutputs[circuit],circuitoutputs[device])</f>
        <v>D9</v>
      </c>
      <c r="J264">
        <f>_xlfn.XLOOKUP(Table2[[#This Row],[set1]],circuitoutputs[circuit],circuitoutputs[output])</f>
        <v>1</v>
      </c>
      <c r="K264" t="s">
        <v>596</v>
      </c>
    </row>
    <row r="265" spans="1:11" hidden="1" x14ac:dyDescent="0.25">
      <c r="A265" t="s">
        <v>122</v>
      </c>
      <c r="B265" t="s">
        <v>192</v>
      </c>
      <c r="C265" cm="1">
        <f t="array" ref="C265">_xlfn.XLOOKUP(1,(LightSpec[Location]=Table2[[#This Row],[lookup Room]]) * (LightSpec[DiagNo]=Table2[[#This Row],[lookup Device]]), LightSpec[startinput])</f>
        <v>0</v>
      </c>
      <c r="D265" t="s">
        <v>445</v>
      </c>
      <c r="E265" t="s">
        <v>503</v>
      </c>
      <c r="F265" t="str" cm="1">
        <f t="array" aca="1" ref="F265" ca="1">_xlfn.LET(
  _xlpm.txt, _xlfn.XLOOKUP(1,(LightSpec[Location]=Table2[[#This Row],[lookup Room]]) * (LightSpec[DiagNo]=Table2[[#This Row],[lookup Device]]),LightSpec[From]),
  _xlpm.n, LEN(_xlpm.txt),
  _xlpm.pos, MATCH(FALSE, ISNUMBER(MID(_xlpm.txt, ROW(INDIRECT("2:" &amp; _xlpm.n)), 1)*1), 0),
  LEFT(_xlpm.txt, _xlpm.pos)
)</f>
        <v>D5</v>
      </c>
      <c r="G265">
        <f>_xlfn.XLOOKUP(Table2[[#This Row],[Trigger]],SwitchButtons[switch],SwitchButtons[input])+Table2[[#This Row],[start]]</f>
        <v>0</v>
      </c>
      <c r="H265" t="s">
        <v>525</v>
      </c>
      <c r="I265" t="str">
        <f>_xlfn.XLOOKUP(Table2[[#This Row],[set1]],circuitoutputs[circuit],circuitoutputs[device])</f>
        <v>D10</v>
      </c>
      <c r="J265">
        <f>_xlfn.XLOOKUP(Table2[[#This Row],[set1]],circuitoutputs[circuit],circuitoutputs[output])</f>
        <v>0</v>
      </c>
      <c r="K265" t="s">
        <v>596</v>
      </c>
    </row>
    <row r="266" spans="1:11" hidden="1" x14ac:dyDescent="0.25">
      <c r="A266" t="s">
        <v>122</v>
      </c>
      <c r="B266" t="s">
        <v>192</v>
      </c>
      <c r="C266" cm="1">
        <f t="array" ref="C266">_xlfn.XLOOKUP(1,(LightSpec[Location]=Table2[[#This Row],[lookup Room]]) * (LightSpec[DiagNo]=Table2[[#This Row],[lookup Device]]), LightSpec[startinput])</f>
        <v>0</v>
      </c>
      <c r="D266" t="s">
        <v>446</v>
      </c>
      <c r="E266" t="s">
        <v>500</v>
      </c>
      <c r="F266" t="str" cm="1">
        <f t="array" aca="1" ref="F266" ca="1">_xlfn.LET(
  _xlpm.txt, _xlfn.XLOOKUP(1,(LightSpec[Location]=Table2[[#This Row],[lookup Room]]) * (LightSpec[DiagNo]=Table2[[#This Row],[lookup Device]]),LightSpec[From]),
  _xlpm.n, LEN(_xlpm.txt),
  _xlpm.pos, MATCH(FALSE, ISNUMBER(MID(_xlpm.txt, ROW(INDIRECT("2:" &amp; _xlpm.n)), 1)*1), 0),
  LEFT(_xlpm.txt, _xlpm.pos)
)</f>
        <v>D5</v>
      </c>
      <c r="G266">
        <f>_xlfn.XLOOKUP(Table2[[#This Row],[Trigger]],SwitchButtons[switch],SwitchButtons[input])+Table2[[#This Row],[start]]</f>
        <v>1</v>
      </c>
      <c r="H266" t="s">
        <v>522</v>
      </c>
      <c r="I266" t="str">
        <f>_xlfn.XLOOKUP(Table2[[#This Row],[set1]],circuitoutputs[circuit],circuitoutputs[device])</f>
        <v>D7</v>
      </c>
      <c r="J266">
        <f>_xlfn.XLOOKUP(Table2[[#This Row],[set1]],circuitoutputs[circuit],circuitoutputs[output])</f>
        <v>0</v>
      </c>
      <c r="K266" t="s">
        <v>495</v>
      </c>
    </row>
    <row r="267" spans="1:11" hidden="1" x14ac:dyDescent="0.25">
      <c r="A267" t="s">
        <v>122</v>
      </c>
      <c r="B267" t="s">
        <v>192</v>
      </c>
      <c r="C267" cm="1">
        <f t="array" ref="C267">_xlfn.XLOOKUP(1,(LightSpec[Location]=Table2[[#This Row],[lookup Room]]) * (LightSpec[DiagNo]=Table2[[#This Row],[lookup Device]]), LightSpec[startinput])</f>
        <v>0</v>
      </c>
      <c r="D267" t="s">
        <v>446</v>
      </c>
      <c r="E267" t="s">
        <v>500</v>
      </c>
      <c r="F267" t="str" cm="1">
        <f t="array" aca="1" ref="F267" ca="1">_xlfn.LET(
  _xlpm.txt, _xlfn.XLOOKUP(1,(LightSpec[Location]=Table2[[#This Row],[lookup Room]]) * (LightSpec[DiagNo]=Table2[[#This Row],[lookup Device]]),LightSpec[From]),
  _xlpm.n, LEN(_xlpm.txt),
  _xlpm.pos, MATCH(FALSE, ISNUMBER(MID(_xlpm.txt, ROW(INDIRECT("2:" &amp; _xlpm.n)), 1)*1), 0),
  LEFT(_xlpm.txt, _xlpm.pos)
)</f>
        <v>D5</v>
      </c>
      <c r="G267">
        <f>_xlfn.XLOOKUP(Table2[[#This Row],[Trigger]],SwitchButtons[switch],SwitchButtons[input])+Table2[[#This Row],[start]]</f>
        <v>1</v>
      </c>
      <c r="H267" t="s">
        <v>559</v>
      </c>
      <c r="I267" t="str">
        <f>_xlfn.XLOOKUP(Table2[[#This Row],[set1]],circuitoutputs[circuit],circuitoutputs[device])</f>
        <v>D7</v>
      </c>
      <c r="J267">
        <f>_xlfn.XLOOKUP(Table2[[#This Row],[set1]],circuitoutputs[circuit],circuitoutputs[output])</f>
        <v>1</v>
      </c>
      <c r="K267" t="s">
        <v>495</v>
      </c>
    </row>
    <row r="268" spans="1:11" hidden="1" x14ac:dyDescent="0.25">
      <c r="A268" t="s">
        <v>122</v>
      </c>
      <c r="B268" t="s">
        <v>192</v>
      </c>
      <c r="C268" cm="1">
        <f t="array" ref="C268">_xlfn.XLOOKUP(1,(LightSpec[Location]=Table2[[#This Row],[lookup Room]]) * (LightSpec[DiagNo]=Table2[[#This Row],[lookup Device]]), LightSpec[startinput])</f>
        <v>0</v>
      </c>
      <c r="D268" t="s">
        <v>446</v>
      </c>
      <c r="E268" t="s">
        <v>500</v>
      </c>
      <c r="F268" t="str" cm="1">
        <f t="array" aca="1" ref="F268" ca="1">_xlfn.LET(
  _xlpm.txt, _xlfn.XLOOKUP(1,(LightSpec[Location]=Table2[[#This Row],[lookup Room]]) * (LightSpec[DiagNo]=Table2[[#This Row],[lookup Device]]),LightSpec[From]),
  _xlpm.n, LEN(_xlpm.txt),
  _xlpm.pos, MATCH(FALSE, ISNUMBER(MID(_xlpm.txt, ROW(INDIRECT("2:" &amp; _xlpm.n)), 1)*1), 0),
  LEFT(_xlpm.txt, _xlpm.pos)
)</f>
        <v>D5</v>
      </c>
      <c r="G268">
        <f>_xlfn.XLOOKUP(Table2[[#This Row],[Trigger]],SwitchButtons[switch],SwitchButtons[input])+Table2[[#This Row],[start]]</f>
        <v>1</v>
      </c>
      <c r="H268" t="s">
        <v>523</v>
      </c>
      <c r="I268" t="str">
        <f>_xlfn.XLOOKUP(Table2[[#This Row],[set1]],circuitoutputs[circuit],circuitoutputs[device])</f>
        <v>D8</v>
      </c>
      <c r="J268">
        <f>_xlfn.XLOOKUP(Table2[[#This Row],[set1]],circuitoutputs[circuit],circuitoutputs[output])</f>
        <v>0</v>
      </c>
      <c r="K268" t="s">
        <v>495</v>
      </c>
    </row>
    <row r="269" spans="1:11" hidden="1" x14ac:dyDescent="0.25">
      <c r="A269" t="s">
        <v>122</v>
      </c>
      <c r="B269" t="s">
        <v>192</v>
      </c>
      <c r="C269" cm="1">
        <f t="array" ref="C269">_xlfn.XLOOKUP(1,(LightSpec[Location]=Table2[[#This Row],[lookup Room]]) * (LightSpec[DiagNo]=Table2[[#This Row],[lookup Device]]), LightSpec[startinput])</f>
        <v>0</v>
      </c>
      <c r="D269" t="s">
        <v>446</v>
      </c>
      <c r="E269" t="s">
        <v>500</v>
      </c>
      <c r="F269" t="str" cm="1">
        <f t="array" aca="1" ref="F269" ca="1">_xlfn.LET(
  _xlpm.txt, _xlfn.XLOOKUP(1,(LightSpec[Location]=Table2[[#This Row],[lookup Room]]) * (LightSpec[DiagNo]=Table2[[#This Row],[lookup Device]]),LightSpec[From]),
  _xlpm.n, LEN(_xlpm.txt),
  _xlpm.pos, MATCH(FALSE, ISNUMBER(MID(_xlpm.txt, ROW(INDIRECT("2:" &amp; _xlpm.n)), 1)*1), 0),
  LEFT(_xlpm.txt, _xlpm.pos)
)</f>
        <v>D5</v>
      </c>
      <c r="G269">
        <f>_xlfn.XLOOKUP(Table2[[#This Row],[Trigger]],SwitchButtons[switch],SwitchButtons[input])+Table2[[#This Row],[start]]</f>
        <v>1</v>
      </c>
      <c r="H269" t="s">
        <v>560</v>
      </c>
      <c r="I269" t="str">
        <f>_xlfn.XLOOKUP(Table2[[#This Row],[set1]],circuitoutputs[circuit],circuitoutputs[device])</f>
        <v>D8</v>
      </c>
      <c r="J269">
        <f>_xlfn.XLOOKUP(Table2[[#This Row],[set1]],circuitoutputs[circuit],circuitoutputs[output])</f>
        <v>1</v>
      </c>
      <c r="K269" t="s">
        <v>495</v>
      </c>
    </row>
    <row r="270" spans="1:11" hidden="1" x14ac:dyDescent="0.25">
      <c r="A270" t="s">
        <v>122</v>
      </c>
      <c r="B270" t="s">
        <v>192</v>
      </c>
      <c r="C270" cm="1">
        <f t="array" ref="C270">_xlfn.XLOOKUP(1,(LightSpec[Location]=Table2[[#This Row],[lookup Room]]) * (LightSpec[DiagNo]=Table2[[#This Row],[lookup Device]]), LightSpec[startinput])</f>
        <v>0</v>
      </c>
      <c r="D270" t="s">
        <v>446</v>
      </c>
      <c r="E270" t="s">
        <v>500</v>
      </c>
      <c r="F270" t="str" cm="1">
        <f t="array" aca="1" ref="F270" ca="1">_xlfn.LET(
  _xlpm.txt, _xlfn.XLOOKUP(1,(LightSpec[Location]=Table2[[#This Row],[lookup Room]]) * (LightSpec[DiagNo]=Table2[[#This Row],[lookup Device]]),LightSpec[From]),
  _xlpm.n, LEN(_xlpm.txt),
  _xlpm.pos, MATCH(FALSE, ISNUMBER(MID(_xlpm.txt, ROW(INDIRECT("2:" &amp; _xlpm.n)), 1)*1), 0),
  LEFT(_xlpm.txt, _xlpm.pos)
)</f>
        <v>D5</v>
      </c>
      <c r="G270">
        <f>_xlfn.XLOOKUP(Table2[[#This Row],[Trigger]],SwitchButtons[switch],SwitchButtons[input])+Table2[[#This Row],[start]]</f>
        <v>1</v>
      </c>
      <c r="H270" t="s">
        <v>513</v>
      </c>
      <c r="I270" t="str">
        <f>_xlfn.XLOOKUP(Table2[[#This Row],[set1]],circuitoutputs[circuit],circuitoutputs[device])</f>
        <v>P4</v>
      </c>
      <c r="J270">
        <f>_xlfn.XLOOKUP(Table2[[#This Row],[set1]],circuitoutputs[circuit],circuitoutputs[output])</f>
        <v>0</v>
      </c>
      <c r="K270" t="s">
        <v>495</v>
      </c>
    </row>
    <row r="271" spans="1:11" hidden="1" x14ac:dyDescent="0.25">
      <c r="A271" t="s">
        <v>122</v>
      </c>
      <c r="B271" t="s">
        <v>192</v>
      </c>
      <c r="C271" cm="1">
        <f t="array" ref="C271">_xlfn.XLOOKUP(1,(LightSpec[Location]=Table2[[#This Row],[lookup Room]]) * (LightSpec[DiagNo]=Table2[[#This Row],[lookup Device]]), LightSpec[startinput])</f>
        <v>0</v>
      </c>
      <c r="D271" t="s">
        <v>446</v>
      </c>
      <c r="E271" t="s">
        <v>500</v>
      </c>
      <c r="F271" t="str" cm="1">
        <f t="array" aca="1" ref="F271" ca="1">_xlfn.LET(
  _xlpm.txt, _xlfn.XLOOKUP(1,(LightSpec[Location]=Table2[[#This Row],[lookup Room]]) * (LightSpec[DiagNo]=Table2[[#This Row],[lookup Device]]),LightSpec[From]),
  _xlpm.n, LEN(_xlpm.txt),
  _xlpm.pos, MATCH(FALSE, ISNUMBER(MID(_xlpm.txt, ROW(INDIRECT("2:" &amp; _xlpm.n)), 1)*1), 0),
  LEFT(_xlpm.txt, _xlpm.pos)
)</f>
        <v>D5</v>
      </c>
      <c r="G271">
        <f>_xlfn.XLOOKUP(Table2[[#This Row],[Trigger]],SwitchButtons[switch],SwitchButtons[input])+Table2[[#This Row],[start]]</f>
        <v>1</v>
      </c>
      <c r="H271" t="s">
        <v>561</v>
      </c>
      <c r="I271" t="str">
        <f>_xlfn.XLOOKUP(Table2[[#This Row],[set1]],circuitoutputs[circuit],circuitoutputs[device])</f>
        <v>D9</v>
      </c>
      <c r="J271">
        <f>_xlfn.XLOOKUP(Table2[[#This Row],[set1]],circuitoutputs[circuit],circuitoutputs[output])</f>
        <v>1</v>
      </c>
      <c r="K271" t="s">
        <v>495</v>
      </c>
    </row>
    <row r="272" spans="1:11" hidden="1" x14ac:dyDescent="0.25">
      <c r="A272" t="s">
        <v>122</v>
      </c>
      <c r="B272" t="s">
        <v>192</v>
      </c>
      <c r="C272" cm="1">
        <f t="array" ref="C272">_xlfn.XLOOKUP(1,(LightSpec[Location]=Table2[[#This Row],[lookup Room]]) * (LightSpec[DiagNo]=Table2[[#This Row],[lookup Device]]), LightSpec[startinput])</f>
        <v>0</v>
      </c>
      <c r="D272" t="s">
        <v>446</v>
      </c>
      <c r="E272" t="s">
        <v>500</v>
      </c>
      <c r="F272" t="str" cm="1">
        <f t="array" aca="1" ref="F272" ca="1">_xlfn.LET(
  _xlpm.txt, _xlfn.XLOOKUP(1,(LightSpec[Location]=Table2[[#This Row],[lookup Room]]) * (LightSpec[DiagNo]=Table2[[#This Row],[lookup Device]]),LightSpec[From]),
  _xlpm.n, LEN(_xlpm.txt),
  _xlpm.pos, MATCH(FALSE, ISNUMBER(MID(_xlpm.txt, ROW(INDIRECT("2:" &amp; _xlpm.n)), 1)*1), 0),
  LEFT(_xlpm.txt, _xlpm.pos)
)</f>
        <v>D5</v>
      </c>
      <c r="G272">
        <f>_xlfn.XLOOKUP(Table2[[#This Row],[Trigger]],SwitchButtons[switch],SwitchButtons[input])+Table2[[#This Row],[start]]</f>
        <v>1</v>
      </c>
      <c r="H272" t="s">
        <v>525</v>
      </c>
      <c r="I272" t="str">
        <f>_xlfn.XLOOKUP(Table2[[#This Row],[set1]],circuitoutputs[circuit],circuitoutputs[device])</f>
        <v>D10</v>
      </c>
      <c r="J272">
        <f>_xlfn.XLOOKUP(Table2[[#This Row],[set1]],circuitoutputs[circuit],circuitoutputs[output])</f>
        <v>0</v>
      </c>
      <c r="K272" t="s">
        <v>495</v>
      </c>
    </row>
    <row r="273" spans="1:11" hidden="1" x14ac:dyDescent="0.25">
      <c r="A273" t="s">
        <v>122</v>
      </c>
      <c r="B273" t="s">
        <v>192</v>
      </c>
      <c r="C273" cm="1">
        <f t="array" ref="C273">_xlfn.XLOOKUP(1,(LightSpec[Location]=Table2[[#This Row],[lookup Room]]) * (LightSpec[DiagNo]=Table2[[#This Row],[lookup Device]]), LightSpec[startinput])</f>
        <v>0</v>
      </c>
      <c r="D273" t="s">
        <v>446</v>
      </c>
      <c r="E273" t="s">
        <v>503</v>
      </c>
      <c r="F273" t="str" cm="1">
        <f t="array" aca="1" ref="F273" ca="1">_xlfn.LET(
  _xlpm.txt, _xlfn.XLOOKUP(1,(LightSpec[Location]=Table2[[#This Row],[lookup Room]]) * (LightSpec[DiagNo]=Table2[[#This Row],[lookup Device]]),LightSpec[From]),
  _xlpm.n, LEN(_xlpm.txt),
  _xlpm.pos, MATCH(FALSE, ISNUMBER(MID(_xlpm.txt, ROW(INDIRECT("2:" &amp; _xlpm.n)), 1)*1), 0),
  LEFT(_xlpm.txt, _xlpm.pos)
)</f>
        <v>D5</v>
      </c>
      <c r="G273">
        <f>_xlfn.XLOOKUP(Table2[[#This Row],[Trigger]],SwitchButtons[switch],SwitchButtons[input])+Table2[[#This Row],[start]]</f>
        <v>1</v>
      </c>
      <c r="H273" t="s">
        <v>520</v>
      </c>
      <c r="I273" t="str">
        <f>_xlfn.XLOOKUP(Table2[[#This Row],[set1]],circuitoutputs[circuit],circuitoutputs[device])</f>
        <v>D5</v>
      </c>
      <c r="J273">
        <f>_xlfn.XLOOKUP(Table2[[#This Row],[set1]],circuitoutputs[circuit],circuitoutputs[output])</f>
        <v>0</v>
      </c>
      <c r="K273" t="s">
        <v>495</v>
      </c>
    </row>
    <row r="274" spans="1:11" hidden="1" x14ac:dyDescent="0.25">
      <c r="A274" t="s">
        <v>122</v>
      </c>
      <c r="B274" t="s">
        <v>192</v>
      </c>
      <c r="C274" cm="1">
        <f t="array" ref="C274">_xlfn.XLOOKUP(1,(LightSpec[Location]=Table2[[#This Row],[lookup Room]]) * (LightSpec[DiagNo]=Table2[[#This Row],[lookup Device]]), LightSpec[startinput])</f>
        <v>0</v>
      </c>
      <c r="D274" t="s">
        <v>446</v>
      </c>
      <c r="E274" t="s">
        <v>503</v>
      </c>
      <c r="F274" t="str" cm="1">
        <f t="array" aca="1" ref="F274" ca="1">_xlfn.LET(
  _xlpm.txt, _xlfn.XLOOKUP(1,(LightSpec[Location]=Table2[[#This Row],[lookup Room]]) * (LightSpec[DiagNo]=Table2[[#This Row],[lookup Device]]),LightSpec[From]),
  _xlpm.n, LEN(_xlpm.txt),
  _xlpm.pos, MATCH(FALSE, ISNUMBER(MID(_xlpm.txt, ROW(INDIRECT("2:" &amp; _xlpm.n)), 1)*1), 0),
  LEFT(_xlpm.txt, _xlpm.pos)
)</f>
        <v>D5</v>
      </c>
      <c r="G274">
        <f>_xlfn.XLOOKUP(Table2[[#This Row],[Trigger]],SwitchButtons[switch],SwitchButtons[input])+Table2[[#This Row],[start]]</f>
        <v>1</v>
      </c>
      <c r="H274" t="s">
        <v>557</v>
      </c>
      <c r="I274" t="str">
        <f>_xlfn.XLOOKUP(Table2[[#This Row],[set1]],circuitoutputs[circuit],circuitoutputs[device])</f>
        <v>D5</v>
      </c>
      <c r="J274">
        <f>_xlfn.XLOOKUP(Table2[[#This Row],[set1]],circuitoutputs[circuit],circuitoutputs[output])</f>
        <v>1</v>
      </c>
      <c r="K274" t="s">
        <v>495</v>
      </c>
    </row>
    <row r="275" spans="1:11" hidden="1" x14ac:dyDescent="0.25">
      <c r="A275" t="s">
        <v>122</v>
      </c>
      <c r="B275" t="s">
        <v>192</v>
      </c>
      <c r="C275" cm="1">
        <f t="array" ref="C275">_xlfn.XLOOKUP(1,(LightSpec[Location]=Table2[[#This Row],[lookup Room]]) * (LightSpec[DiagNo]=Table2[[#This Row],[lookup Device]]), LightSpec[startinput])</f>
        <v>0</v>
      </c>
      <c r="D275" t="s">
        <v>446</v>
      </c>
      <c r="E275" t="s">
        <v>503</v>
      </c>
      <c r="F275" t="str" cm="1">
        <f t="array" aca="1" ref="F275" ca="1">_xlfn.LET(
  _xlpm.txt, _xlfn.XLOOKUP(1,(LightSpec[Location]=Table2[[#This Row],[lookup Room]]) * (LightSpec[DiagNo]=Table2[[#This Row],[lookup Device]]),LightSpec[From]),
  _xlpm.n, LEN(_xlpm.txt),
  _xlpm.pos, MATCH(FALSE, ISNUMBER(MID(_xlpm.txt, ROW(INDIRECT("2:" &amp; _xlpm.n)), 1)*1), 0),
  LEFT(_xlpm.txt, _xlpm.pos)
)</f>
        <v>D5</v>
      </c>
      <c r="G275">
        <f>_xlfn.XLOOKUP(Table2[[#This Row],[Trigger]],SwitchButtons[switch],SwitchButtons[input])+Table2[[#This Row],[start]]</f>
        <v>1</v>
      </c>
      <c r="H275" t="s">
        <v>522</v>
      </c>
      <c r="I275" t="str">
        <f>_xlfn.XLOOKUP(Table2[[#This Row],[set1]],circuitoutputs[circuit],circuitoutputs[device])</f>
        <v>D7</v>
      </c>
      <c r="J275">
        <f>_xlfn.XLOOKUP(Table2[[#This Row],[set1]],circuitoutputs[circuit],circuitoutputs[output])</f>
        <v>0</v>
      </c>
      <c r="K275" t="s">
        <v>495</v>
      </c>
    </row>
    <row r="276" spans="1:11" hidden="1" x14ac:dyDescent="0.25">
      <c r="A276" t="s">
        <v>122</v>
      </c>
      <c r="B276" t="s">
        <v>192</v>
      </c>
      <c r="C276" cm="1">
        <f t="array" ref="C276">_xlfn.XLOOKUP(1,(LightSpec[Location]=Table2[[#This Row],[lookup Room]]) * (LightSpec[DiagNo]=Table2[[#This Row],[lookup Device]]), LightSpec[startinput])</f>
        <v>0</v>
      </c>
      <c r="D276" t="s">
        <v>446</v>
      </c>
      <c r="E276" t="s">
        <v>503</v>
      </c>
      <c r="F276" t="str" cm="1">
        <f t="array" aca="1" ref="F276" ca="1">_xlfn.LET(
  _xlpm.txt, _xlfn.XLOOKUP(1,(LightSpec[Location]=Table2[[#This Row],[lookup Room]]) * (LightSpec[DiagNo]=Table2[[#This Row],[lookup Device]]),LightSpec[From]),
  _xlpm.n, LEN(_xlpm.txt),
  _xlpm.pos, MATCH(FALSE, ISNUMBER(MID(_xlpm.txt, ROW(INDIRECT("2:" &amp; _xlpm.n)), 1)*1), 0),
  LEFT(_xlpm.txt, _xlpm.pos)
)</f>
        <v>D5</v>
      </c>
      <c r="G276">
        <f>_xlfn.XLOOKUP(Table2[[#This Row],[Trigger]],SwitchButtons[switch],SwitchButtons[input])+Table2[[#This Row],[start]]</f>
        <v>1</v>
      </c>
      <c r="H276" t="s">
        <v>559</v>
      </c>
      <c r="I276" t="str">
        <f>_xlfn.XLOOKUP(Table2[[#This Row],[set1]],circuitoutputs[circuit],circuitoutputs[device])</f>
        <v>D7</v>
      </c>
      <c r="J276">
        <f>_xlfn.XLOOKUP(Table2[[#This Row],[set1]],circuitoutputs[circuit],circuitoutputs[output])</f>
        <v>1</v>
      </c>
      <c r="K276" t="s">
        <v>495</v>
      </c>
    </row>
    <row r="277" spans="1:11" hidden="1" x14ac:dyDescent="0.25">
      <c r="A277" t="s">
        <v>122</v>
      </c>
      <c r="B277" t="s">
        <v>192</v>
      </c>
      <c r="C277" cm="1">
        <f t="array" ref="C277">_xlfn.XLOOKUP(1,(LightSpec[Location]=Table2[[#This Row],[lookup Room]]) * (LightSpec[DiagNo]=Table2[[#This Row],[lookup Device]]), LightSpec[startinput])</f>
        <v>0</v>
      </c>
      <c r="D277" t="s">
        <v>446</v>
      </c>
      <c r="E277" t="s">
        <v>503</v>
      </c>
      <c r="F277" t="str" cm="1">
        <f t="array" aca="1" ref="F277" ca="1">_xlfn.LET(
  _xlpm.txt, _xlfn.XLOOKUP(1,(LightSpec[Location]=Table2[[#This Row],[lookup Room]]) * (LightSpec[DiagNo]=Table2[[#This Row],[lookup Device]]),LightSpec[From]),
  _xlpm.n, LEN(_xlpm.txt),
  _xlpm.pos, MATCH(FALSE, ISNUMBER(MID(_xlpm.txt, ROW(INDIRECT("2:" &amp; _xlpm.n)), 1)*1), 0),
  LEFT(_xlpm.txt, _xlpm.pos)
)</f>
        <v>D5</v>
      </c>
      <c r="G277">
        <f>_xlfn.XLOOKUP(Table2[[#This Row],[Trigger]],SwitchButtons[switch],SwitchButtons[input])+Table2[[#This Row],[start]]</f>
        <v>1</v>
      </c>
      <c r="H277" t="s">
        <v>523</v>
      </c>
      <c r="I277" t="str">
        <f>_xlfn.XLOOKUP(Table2[[#This Row],[set1]],circuitoutputs[circuit],circuitoutputs[device])</f>
        <v>D8</v>
      </c>
      <c r="J277">
        <f>_xlfn.XLOOKUP(Table2[[#This Row],[set1]],circuitoutputs[circuit],circuitoutputs[output])</f>
        <v>0</v>
      </c>
      <c r="K277" t="s">
        <v>495</v>
      </c>
    </row>
    <row r="278" spans="1:11" hidden="1" x14ac:dyDescent="0.25">
      <c r="A278" t="s">
        <v>122</v>
      </c>
      <c r="B278" t="s">
        <v>192</v>
      </c>
      <c r="C278" cm="1">
        <f t="array" ref="C278">_xlfn.XLOOKUP(1,(LightSpec[Location]=Table2[[#This Row],[lookup Room]]) * (LightSpec[DiagNo]=Table2[[#This Row],[lookup Device]]), LightSpec[startinput])</f>
        <v>0</v>
      </c>
      <c r="D278" t="s">
        <v>446</v>
      </c>
      <c r="E278" t="s">
        <v>503</v>
      </c>
      <c r="F278" t="str" cm="1">
        <f t="array" aca="1" ref="F278" ca="1">_xlfn.LET(
  _xlpm.txt, _xlfn.XLOOKUP(1,(LightSpec[Location]=Table2[[#This Row],[lookup Room]]) * (LightSpec[DiagNo]=Table2[[#This Row],[lookup Device]]),LightSpec[From]),
  _xlpm.n, LEN(_xlpm.txt),
  _xlpm.pos, MATCH(FALSE, ISNUMBER(MID(_xlpm.txt, ROW(INDIRECT("2:" &amp; _xlpm.n)), 1)*1), 0),
  LEFT(_xlpm.txt, _xlpm.pos)
)</f>
        <v>D5</v>
      </c>
      <c r="G278">
        <f>_xlfn.XLOOKUP(Table2[[#This Row],[Trigger]],SwitchButtons[switch],SwitchButtons[input])+Table2[[#This Row],[start]]</f>
        <v>1</v>
      </c>
      <c r="H278" t="s">
        <v>560</v>
      </c>
      <c r="I278" t="str">
        <f>_xlfn.XLOOKUP(Table2[[#This Row],[set1]],circuitoutputs[circuit],circuitoutputs[device])</f>
        <v>D8</v>
      </c>
      <c r="J278">
        <f>_xlfn.XLOOKUP(Table2[[#This Row],[set1]],circuitoutputs[circuit],circuitoutputs[output])</f>
        <v>1</v>
      </c>
      <c r="K278" t="s">
        <v>495</v>
      </c>
    </row>
    <row r="279" spans="1:11" hidden="1" x14ac:dyDescent="0.25">
      <c r="A279" t="s">
        <v>122</v>
      </c>
      <c r="B279" t="s">
        <v>192</v>
      </c>
      <c r="C279" cm="1">
        <f t="array" ref="C279">_xlfn.XLOOKUP(1,(LightSpec[Location]=Table2[[#This Row],[lookup Room]]) * (LightSpec[DiagNo]=Table2[[#This Row],[lookup Device]]), LightSpec[startinput])</f>
        <v>0</v>
      </c>
      <c r="D279" t="s">
        <v>446</v>
      </c>
      <c r="E279" t="s">
        <v>503</v>
      </c>
      <c r="F279" t="str" cm="1">
        <f t="array" aca="1" ref="F279" ca="1">_xlfn.LET(
  _xlpm.txt, _xlfn.XLOOKUP(1,(LightSpec[Location]=Table2[[#This Row],[lookup Room]]) * (LightSpec[DiagNo]=Table2[[#This Row],[lookup Device]]),LightSpec[From]),
  _xlpm.n, LEN(_xlpm.txt),
  _xlpm.pos, MATCH(FALSE, ISNUMBER(MID(_xlpm.txt, ROW(INDIRECT("2:" &amp; _xlpm.n)), 1)*1), 0),
  LEFT(_xlpm.txt, _xlpm.pos)
)</f>
        <v>D5</v>
      </c>
      <c r="G279">
        <f>_xlfn.XLOOKUP(Table2[[#This Row],[Trigger]],SwitchButtons[switch],SwitchButtons[input])+Table2[[#This Row],[start]]</f>
        <v>1</v>
      </c>
      <c r="H279" t="s">
        <v>524</v>
      </c>
      <c r="I279" t="str">
        <f>_xlfn.XLOOKUP(Table2[[#This Row],[set1]],circuitoutputs[circuit],circuitoutputs[device])</f>
        <v>D9</v>
      </c>
      <c r="J279">
        <f>_xlfn.XLOOKUP(Table2[[#This Row],[set1]],circuitoutputs[circuit],circuitoutputs[output])</f>
        <v>0</v>
      </c>
      <c r="K279" t="s">
        <v>495</v>
      </c>
    </row>
    <row r="280" spans="1:11" hidden="1" x14ac:dyDescent="0.25">
      <c r="A280" t="s">
        <v>122</v>
      </c>
      <c r="B280" t="s">
        <v>192</v>
      </c>
      <c r="C280" cm="1">
        <f t="array" ref="C280">_xlfn.XLOOKUP(1,(LightSpec[Location]=Table2[[#This Row],[lookup Room]]) * (LightSpec[DiagNo]=Table2[[#This Row],[lookup Device]]), LightSpec[startinput])</f>
        <v>0</v>
      </c>
      <c r="D280" t="s">
        <v>446</v>
      </c>
      <c r="E280" t="s">
        <v>503</v>
      </c>
      <c r="F280" t="str" cm="1">
        <f t="array" aca="1" ref="F280" ca="1">_xlfn.LET(
  _xlpm.txt, _xlfn.XLOOKUP(1,(LightSpec[Location]=Table2[[#This Row],[lookup Room]]) * (LightSpec[DiagNo]=Table2[[#This Row],[lookup Device]]),LightSpec[From]),
  _xlpm.n, LEN(_xlpm.txt),
  _xlpm.pos, MATCH(FALSE, ISNUMBER(MID(_xlpm.txt, ROW(INDIRECT("2:" &amp; _xlpm.n)), 1)*1), 0),
  LEFT(_xlpm.txt, _xlpm.pos)
)</f>
        <v>D5</v>
      </c>
      <c r="G280">
        <f>_xlfn.XLOOKUP(Table2[[#This Row],[Trigger]],SwitchButtons[switch],SwitchButtons[input])+Table2[[#This Row],[start]]</f>
        <v>1</v>
      </c>
      <c r="H280" t="s">
        <v>513</v>
      </c>
      <c r="I280" t="str">
        <f>_xlfn.XLOOKUP(Table2[[#This Row],[set1]],circuitoutputs[circuit],circuitoutputs[device])</f>
        <v>P4</v>
      </c>
      <c r="J280">
        <f>_xlfn.XLOOKUP(Table2[[#This Row],[set1]],circuitoutputs[circuit],circuitoutputs[output])</f>
        <v>0</v>
      </c>
      <c r="K280" t="s">
        <v>495</v>
      </c>
    </row>
    <row r="281" spans="1:11" hidden="1" x14ac:dyDescent="0.25">
      <c r="A281" t="s">
        <v>122</v>
      </c>
      <c r="B281" t="s">
        <v>192</v>
      </c>
      <c r="C281" cm="1">
        <f t="array" ref="C281">_xlfn.XLOOKUP(1,(LightSpec[Location]=Table2[[#This Row],[lookup Room]]) * (LightSpec[DiagNo]=Table2[[#This Row],[lookup Device]]), LightSpec[startinput])</f>
        <v>0</v>
      </c>
      <c r="D281" t="s">
        <v>446</v>
      </c>
      <c r="E281" t="s">
        <v>503</v>
      </c>
      <c r="F281" t="str" cm="1">
        <f t="array" aca="1" ref="F281" ca="1">_xlfn.LET(
  _xlpm.txt, _xlfn.XLOOKUP(1,(LightSpec[Location]=Table2[[#This Row],[lookup Room]]) * (LightSpec[DiagNo]=Table2[[#This Row],[lookup Device]]),LightSpec[From]),
  _xlpm.n, LEN(_xlpm.txt),
  _xlpm.pos, MATCH(FALSE, ISNUMBER(MID(_xlpm.txt, ROW(INDIRECT("2:" &amp; _xlpm.n)), 1)*1), 0),
  LEFT(_xlpm.txt, _xlpm.pos)
)</f>
        <v>D5</v>
      </c>
      <c r="G281">
        <f>_xlfn.XLOOKUP(Table2[[#This Row],[Trigger]],SwitchButtons[switch],SwitchButtons[input])+Table2[[#This Row],[start]]</f>
        <v>1</v>
      </c>
      <c r="H281" t="s">
        <v>561</v>
      </c>
      <c r="I281" t="str">
        <f>_xlfn.XLOOKUP(Table2[[#This Row],[set1]],circuitoutputs[circuit],circuitoutputs[device])</f>
        <v>D9</v>
      </c>
      <c r="J281">
        <f>_xlfn.XLOOKUP(Table2[[#This Row],[set1]],circuitoutputs[circuit],circuitoutputs[output])</f>
        <v>1</v>
      </c>
      <c r="K281" t="s">
        <v>495</v>
      </c>
    </row>
    <row r="282" spans="1:11" hidden="1" x14ac:dyDescent="0.25">
      <c r="A282" t="s">
        <v>122</v>
      </c>
      <c r="B282" t="s">
        <v>192</v>
      </c>
      <c r="C282" cm="1">
        <f t="array" ref="C282">_xlfn.XLOOKUP(1,(LightSpec[Location]=Table2[[#This Row],[lookup Room]]) * (LightSpec[DiagNo]=Table2[[#This Row],[lookup Device]]), LightSpec[startinput])</f>
        <v>0</v>
      </c>
      <c r="D282" t="s">
        <v>446</v>
      </c>
      <c r="E282" t="s">
        <v>503</v>
      </c>
      <c r="F282" t="str" cm="1">
        <f t="array" aca="1" ref="F282" ca="1">_xlfn.LET(
  _xlpm.txt, _xlfn.XLOOKUP(1,(LightSpec[Location]=Table2[[#This Row],[lookup Room]]) * (LightSpec[DiagNo]=Table2[[#This Row],[lookup Device]]),LightSpec[From]),
  _xlpm.n, LEN(_xlpm.txt),
  _xlpm.pos, MATCH(FALSE, ISNUMBER(MID(_xlpm.txt, ROW(INDIRECT("2:" &amp; _xlpm.n)), 1)*1), 0),
  LEFT(_xlpm.txt, _xlpm.pos)
)</f>
        <v>D5</v>
      </c>
      <c r="G282">
        <f>_xlfn.XLOOKUP(Table2[[#This Row],[Trigger]],SwitchButtons[switch],SwitchButtons[input])+Table2[[#This Row],[start]]</f>
        <v>1</v>
      </c>
      <c r="H282" t="s">
        <v>525</v>
      </c>
      <c r="I282" t="str">
        <f>_xlfn.XLOOKUP(Table2[[#This Row],[set1]],circuitoutputs[circuit],circuitoutputs[device])</f>
        <v>D10</v>
      </c>
      <c r="J282">
        <f>_xlfn.XLOOKUP(Table2[[#This Row],[set1]],circuitoutputs[circuit],circuitoutputs[output])</f>
        <v>0</v>
      </c>
      <c r="K282" t="s">
        <v>495</v>
      </c>
    </row>
    <row r="283" spans="1:11" hidden="1" x14ac:dyDescent="0.25">
      <c r="A283" t="s">
        <v>125</v>
      </c>
      <c r="B283" t="s">
        <v>192</v>
      </c>
      <c r="C283" cm="1">
        <f t="array" ref="C283">_xlfn.XLOOKUP(1,(LightSpec[Location]=Table2[[#This Row],[lookup Room]]) * (LightSpec[DiagNo]=Table2[[#This Row],[lookup Device]]), LightSpec[startinput])</f>
        <v>0</v>
      </c>
      <c r="D283" t="s">
        <v>447</v>
      </c>
      <c r="E283" t="s">
        <v>500</v>
      </c>
      <c r="F283" t="str" cm="1">
        <f t="array" aca="1" ref="F283" ca="1">_xlfn.LET(
  _xlpm.txt, _xlfn.XLOOKUP(1,(LightSpec[Location]=Table2[[#This Row],[lookup Room]]) * (LightSpec[DiagNo]=Table2[[#This Row],[lookup Device]]),LightSpec[From]),
  _xlpm.n, LEN(_xlpm.txt),
  _xlpm.pos, MATCH(FALSE, ISNUMBER(MID(_xlpm.txt, ROW(INDIRECT("2:" &amp; _xlpm.n)), 1)*1), 0),
  LEFT(_xlpm.txt, _xlpm.pos)
)</f>
        <v>D7</v>
      </c>
      <c r="G283">
        <f>_xlfn.XLOOKUP(Table2[[#This Row],[Trigger]],SwitchButtons[switch],SwitchButtons[input])+Table2[[#This Row],[start]]</f>
        <v>2</v>
      </c>
      <c r="H283" t="s">
        <v>520</v>
      </c>
      <c r="I283" t="str">
        <f>_xlfn.XLOOKUP(Table2[[#This Row],[set1]],circuitoutputs[circuit],circuitoutputs[device])</f>
        <v>D5</v>
      </c>
      <c r="J283">
        <f>_xlfn.XLOOKUP(Table2[[#This Row],[set1]],circuitoutputs[circuit],circuitoutputs[output])</f>
        <v>0</v>
      </c>
      <c r="K283" t="s">
        <v>494</v>
      </c>
    </row>
    <row r="284" spans="1:11" hidden="1" x14ac:dyDescent="0.25">
      <c r="A284" t="s">
        <v>125</v>
      </c>
      <c r="B284" t="s">
        <v>192</v>
      </c>
      <c r="C284" cm="1">
        <f t="array" ref="C284">_xlfn.XLOOKUP(1,(LightSpec[Location]=Table2[[#This Row],[lookup Room]]) * (LightSpec[DiagNo]=Table2[[#This Row],[lookup Device]]), LightSpec[startinput])</f>
        <v>0</v>
      </c>
      <c r="D284" t="s">
        <v>447</v>
      </c>
      <c r="E284" t="s">
        <v>500</v>
      </c>
      <c r="F284" t="str" cm="1">
        <f t="array" aca="1" ref="F284" ca="1">_xlfn.LET(
  _xlpm.txt, _xlfn.XLOOKUP(1,(LightSpec[Location]=Table2[[#This Row],[lookup Room]]) * (LightSpec[DiagNo]=Table2[[#This Row],[lookup Device]]),LightSpec[From]),
  _xlpm.n, LEN(_xlpm.txt),
  _xlpm.pos, MATCH(FALSE, ISNUMBER(MID(_xlpm.txt, ROW(INDIRECT("2:" &amp; _xlpm.n)), 1)*1), 0),
  LEFT(_xlpm.txt, _xlpm.pos)
)</f>
        <v>D7</v>
      </c>
      <c r="G284">
        <f>_xlfn.XLOOKUP(Table2[[#This Row],[Trigger]],SwitchButtons[switch],SwitchButtons[input])+Table2[[#This Row],[start]]</f>
        <v>2</v>
      </c>
      <c r="H284" t="s">
        <v>557</v>
      </c>
      <c r="I284" t="str">
        <f>_xlfn.XLOOKUP(Table2[[#This Row],[set1]],circuitoutputs[circuit],circuitoutputs[device])</f>
        <v>D5</v>
      </c>
      <c r="J284">
        <f>_xlfn.XLOOKUP(Table2[[#This Row],[set1]],circuitoutputs[circuit],circuitoutputs[output])</f>
        <v>1</v>
      </c>
      <c r="K284" t="s">
        <v>494</v>
      </c>
    </row>
    <row r="285" spans="1:11" hidden="1" x14ac:dyDescent="0.25">
      <c r="A285" t="s">
        <v>125</v>
      </c>
      <c r="B285" t="s">
        <v>192</v>
      </c>
      <c r="C285" cm="1">
        <f t="array" ref="C285">_xlfn.XLOOKUP(1,(LightSpec[Location]=Table2[[#This Row],[lookup Room]]) * (LightSpec[DiagNo]=Table2[[#This Row],[lookup Device]]), LightSpec[startinput])</f>
        <v>0</v>
      </c>
      <c r="D285" t="s">
        <v>447</v>
      </c>
      <c r="E285" t="s">
        <v>500</v>
      </c>
      <c r="F285" t="str" cm="1">
        <f t="array" aca="1" ref="F285" ca="1">_xlfn.LET(
  _xlpm.txt, _xlfn.XLOOKUP(1,(LightSpec[Location]=Table2[[#This Row],[lookup Room]]) * (LightSpec[DiagNo]=Table2[[#This Row],[lookup Device]]),LightSpec[From]),
  _xlpm.n, LEN(_xlpm.txt),
  _xlpm.pos, MATCH(FALSE, ISNUMBER(MID(_xlpm.txt, ROW(INDIRECT("2:" &amp; _xlpm.n)), 1)*1), 0),
  LEFT(_xlpm.txt, _xlpm.pos)
)</f>
        <v>D7</v>
      </c>
      <c r="G285">
        <f>_xlfn.XLOOKUP(Table2[[#This Row],[Trigger]],SwitchButtons[switch],SwitchButtons[input])+Table2[[#This Row],[start]]</f>
        <v>2</v>
      </c>
      <c r="H285" t="s">
        <v>522</v>
      </c>
      <c r="I285" t="str">
        <f>_xlfn.XLOOKUP(Table2[[#This Row],[set1]],circuitoutputs[circuit],circuitoutputs[device])</f>
        <v>D7</v>
      </c>
      <c r="J285">
        <f>_xlfn.XLOOKUP(Table2[[#This Row],[set1]],circuitoutputs[circuit],circuitoutputs[output])</f>
        <v>0</v>
      </c>
      <c r="K285" t="s">
        <v>494</v>
      </c>
    </row>
    <row r="286" spans="1:11" hidden="1" x14ac:dyDescent="0.25">
      <c r="A286" t="s">
        <v>125</v>
      </c>
      <c r="B286" t="s">
        <v>192</v>
      </c>
      <c r="C286" cm="1">
        <f t="array" ref="C286">_xlfn.XLOOKUP(1,(LightSpec[Location]=Table2[[#This Row],[lookup Room]]) * (LightSpec[DiagNo]=Table2[[#This Row],[lookup Device]]), LightSpec[startinput])</f>
        <v>0</v>
      </c>
      <c r="D286" t="s">
        <v>447</v>
      </c>
      <c r="E286" t="s">
        <v>500</v>
      </c>
      <c r="F286" t="str" cm="1">
        <f t="array" aca="1" ref="F286" ca="1">_xlfn.LET(
  _xlpm.txt, _xlfn.XLOOKUP(1,(LightSpec[Location]=Table2[[#This Row],[lookup Room]]) * (LightSpec[DiagNo]=Table2[[#This Row],[lookup Device]]),LightSpec[From]),
  _xlpm.n, LEN(_xlpm.txt),
  _xlpm.pos, MATCH(FALSE, ISNUMBER(MID(_xlpm.txt, ROW(INDIRECT("2:" &amp; _xlpm.n)), 1)*1), 0),
  LEFT(_xlpm.txt, _xlpm.pos)
)</f>
        <v>D7</v>
      </c>
      <c r="G286">
        <f>_xlfn.XLOOKUP(Table2[[#This Row],[Trigger]],SwitchButtons[switch],SwitchButtons[input])+Table2[[#This Row],[start]]</f>
        <v>2</v>
      </c>
      <c r="H286" t="s">
        <v>559</v>
      </c>
      <c r="I286" t="str">
        <f>_xlfn.XLOOKUP(Table2[[#This Row],[set1]],circuitoutputs[circuit],circuitoutputs[device])</f>
        <v>D7</v>
      </c>
      <c r="J286">
        <f>_xlfn.XLOOKUP(Table2[[#This Row],[set1]],circuitoutputs[circuit],circuitoutputs[output])</f>
        <v>1</v>
      </c>
      <c r="K286" t="s">
        <v>494</v>
      </c>
    </row>
    <row r="287" spans="1:11" hidden="1" x14ac:dyDescent="0.25">
      <c r="A287" t="s">
        <v>125</v>
      </c>
      <c r="B287" t="s">
        <v>192</v>
      </c>
      <c r="C287" cm="1">
        <f t="array" ref="C287">_xlfn.XLOOKUP(1,(LightSpec[Location]=Table2[[#This Row],[lookup Room]]) * (LightSpec[DiagNo]=Table2[[#This Row],[lookup Device]]), LightSpec[startinput])</f>
        <v>0</v>
      </c>
      <c r="D287" t="s">
        <v>447</v>
      </c>
      <c r="E287" t="s">
        <v>500</v>
      </c>
      <c r="F287" t="str" cm="1">
        <f t="array" aca="1" ref="F287" ca="1">_xlfn.LET(
  _xlpm.txt, _xlfn.XLOOKUP(1,(LightSpec[Location]=Table2[[#This Row],[lookup Room]]) * (LightSpec[DiagNo]=Table2[[#This Row],[lookup Device]]),LightSpec[From]),
  _xlpm.n, LEN(_xlpm.txt),
  _xlpm.pos, MATCH(FALSE, ISNUMBER(MID(_xlpm.txt, ROW(INDIRECT("2:" &amp; _xlpm.n)), 1)*1), 0),
  LEFT(_xlpm.txt, _xlpm.pos)
)</f>
        <v>D7</v>
      </c>
      <c r="G287">
        <f>_xlfn.XLOOKUP(Table2[[#This Row],[Trigger]],SwitchButtons[switch],SwitchButtons[input])+Table2[[#This Row],[start]]</f>
        <v>2</v>
      </c>
      <c r="H287" t="s">
        <v>523</v>
      </c>
      <c r="I287" t="str">
        <f>_xlfn.XLOOKUP(Table2[[#This Row],[set1]],circuitoutputs[circuit],circuitoutputs[device])</f>
        <v>D8</v>
      </c>
      <c r="J287">
        <f>_xlfn.XLOOKUP(Table2[[#This Row],[set1]],circuitoutputs[circuit],circuitoutputs[output])</f>
        <v>0</v>
      </c>
      <c r="K287" t="s">
        <v>494</v>
      </c>
    </row>
    <row r="288" spans="1:11" hidden="1" x14ac:dyDescent="0.25">
      <c r="A288" t="s">
        <v>125</v>
      </c>
      <c r="B288" t="s">
        <v>192</v>
      </c>
      <c r="C288" cm="1">
        <f t="array" ref="C288">_xlfn.XLOOKUP(1,(LightSpec[Location]=Table2[[#This Row],[lookup Room]]) * (LightSpec[DiagNo]=Table2[[#This Row],[lookup Device]]), LightSpec[startinput])</f>
        <v>0</v>
      </c>
      <c r="D288" t="s">
        <v>447</v>
      </c>
      <c r="E288" t="s">
        <v>500</v>
      </c>
      <c r="F288" t="str" cm="1">
        <f t="array" aca="1" ref="F288" ca="1">_xlfn.LET(
  _xlpm.txt, _xlfn.XLOOKUP(1,(LightSpec[Location]=Table2[[#This Row],[lookup Room]]) * (LightSpec[DiagNo]=Table2[[#This Row],[lookup Device]]),LightSpec[From]),
  _xlpm.n, LEN(_xlpm.txt),
  _xlpm.pos, MATCH(FALSE, ISNUMBER(MID(_xlpm.txt, ROW(INDIRECT("2:" &amp; _xlpm.n)), 1)*1), 0),
  LEFT(_xlpm.txt, _xlpm.pos)
)</f>
        <v>D7</v>
      </c>
      <c r="G288">
        <f>_xlfn.XLOOKUP(Table2[[#This Row],[Trigger]],SwitchButtons[switch],SwitchButtons[input])+Table2[[#This Row],[start]]</f>
        <v>2</v>
      </c>
      <c r="H288" t="s">
        <v>560</v>
      </c>
      <c r="I288" t="str">
        <f>_xlfn.XLOOKUP(Table2[[#This Row],[set1]],circuitoutputs[circuit],circuitoutputs[device])</f>
        <v>D8</v>
      </c>
      <c r="J288">
        <f>_xlfn.XLOOKUP(Table2[[#This Row],[set1]],circuitoutputs[circuit],circuitoutputs[output])</f>
        <v>1</v>
      </c>
      <c r="K288" t="s">
        <v>494</v>
      </c>
    </row>
    <row r="289" spans="1:11" hidden="1" x14ac:dyDescent="0.25">
      <c r="A289" t="s">
        <v>125</v>
      </c>
      <c r="B289" t="s">
        <v>192</v>
      </c>
      <c r="C289" cm="1">
        <f t="array" ref="C289">_xlfn.XLOOKUP(1,(LightSpec[Location]=Table2[[#This Row],[lookup Room]]) * (LightSpec[DiagNo]=Table2[[#This Row],[lookup Device]]), LightSpec[startinput])</f>
        <v>0</v>
      </c>
      <c r="D289" t="s">
        <v>447</v>
      </c>
      <c r="E289" t="s">
        <v>500</v>
      </c>
      <c r="F289" t="str" cm="1">
        <f t="array" aca="1" ref="F289" ca="1">_xlfn.LET(
  _xlpm.txt, _xlfn.XLOOKUP(1,(LightSpec[Location]=Table2[[#This Row],[lookup Room]]) * (LightSpec[DiagNo]=Table2[[#This Row],[lookup Device]]),LightSpec[From]),
  _xlpm.n, LEN(_xlpm.txt),
  _xlpm.pos, MATCH(FALSE, ISNUMBER(MID(_xlpm.txt, ROW(INDIRECT("2:" &amp; _xlpm.n)), 1)*1), 0),
  LEFT(_xlpm.txt, _xlpm.pos)
)</f>
        <v>D7</v>
      </c>
      <c r="G289">
        <f>_xlfn.XLOOKUP(Table2[[#This Row],[Trigger]],SwitchButtons[switch],SwitchButtons[input])+Table2[[#This Row],[start]]</f>
        <v>2</v>
      </c>
      <c r="H289" t="s">
        <v>513</v>
      </c>
      <c r="I289" t="str">
        <f>_xlfn.XLOOKUP(Table2[[#This Row],[set1]],circuitoutputs[circuit],circuitoutputs[device])</f>
        <v>P4</v>
      </c>
      <c r="J289">
        <f>_xlfn.XLOOKUP(Table2[[#This Row],[set1]],circuitoutputs[circuit],circuitoutputs[output])</f>
        <v>0</v>
      </c>
      <c r="K289" t="s">
        <v>494</v>
      </c>
    </row>
    <row r="290" spans="1:11" hidden="1" x14ac:dyDescent="0.25">
      <c r="A290" t="s">
        <v>125</v>
      </c>
      <c r="B290" t="s">
        <v>192</v>
      </c>
      <c r="C290" cm="1">
        <f t="array" ref="C290">_xlfn.XLOOKUP(1,(LightSpec[Location]=Table2[[#This Row],[lookup Room]]) * (LightSpec[DiagNo]=Table2[[#This Row],[lookup Device]]), LightSpec[startinput])</f>
        <v>0</v>
      </c>
      <c r="D290" t="s">
        <v>447</v>
      </c>
      <c r="E290" t="s">
        <v>500</v>
      </c>
      <c r="F290" t="str" cm="1">
        <f t="array" aca="1" ref="F290" ca="1">_xlfn.LET(
  _xlpm.txt, _xlfn.XLOOKUP(1,(LightSpec[Location]=Table2[[#This Row],[lookup Room]]) * (LightSpec[DiagNo]=Table2[[#This Row],[lookup Device]]),LightSpec[From]),
  _xlpm.n, LEN(_xlpm.txt),
  _xlpm.pos, MATCH(FALSE, ISNUMBER(MID(_xlpm.txt, ROW(INDIRECT("2:" &amp; _xlpm.n)), 1)*1), 0),
  LEFT(_xlpm.txt, _xlpm.pos)
)</f>
        <v>D7</v>
      </c>
      <c r="G290">
        <f>_xlfn.XLOOKUP(Table2[[#This Row],[Trigger]],SwitchButtons[switch],SwitchButtons[input])+Table2[[#This Row],[start]]</f>
        <v>2</v>
      </c>
      <c r="H290" t="s">
        <v>561</v>
      </c>
      <c r="I290" t="str">
        <f>_xlfn.XLOOKUP(Table2[[#This Row],[set1]],circuitoutputs[circuit],circuitoutputs[device])</f>
        <v>D9</v>
      </c>
      <c r="J290">
        <f>_xlfn.XLOOKUP(Table2[[#This Row],[set1]],circuitoutputs[circuit],circuitoutputs[output])</f>
        <v>1</v>
      </c>
      <c r="K290" t="s">
        <v>494</v>
      </c>
    </row>
    <row r="291" spans="1:11" hidden="1" x14ac:dyDescent="0.25">
      <c r="A291" t="s">
        <v>125</v>
      </c>
      <c r="B291" t="s">
        <v>192</v>
      </c>
      <c r="C291" cm="1">
        <f t="array" ref="C291">_xlfn.XLOOKUP(1,(LightSpec[Location]=Table2[[#This Row],[lookup Room]]) * (LightSpec[DiagNo]=Table2[[#This Row],[lookup Device]]), LightSpec[startinput])</f>
        <v>0</v>
      </c>
      <c r="D291" t="s">
        <v>447</v>
      </c>
      <c r="E291" t="s">
        <v>500</v>
      </c>
      <c r="F291" t="str" cm="1">
        <f t="array" aca="1" ref="F291" ca="1">_xlfn.LET(
  _xlpm.txt, _xlfn.XLOOKUP(1,(LightSpec[Location]=Table2[[#This Row],[lookup Room]]) * (LightSpec[DiagNo]=Table2[[#This Row],[lookup Device]]),LightSpec[From]),
  _xlpm.n, LEN(_xlpm.txt),
  _xlpm.pos, MATCH(FALSE, ISNUMBER(MID(_xlpm.txt, ROW(INDIRECT("2:" &amp; _xlpm.n)), 1)*1), 0),
  LEFT(_xlpm.txt, _xlpm.pos)
)</f>
        <v>D7</v>
      </c>
      <c r="G291">
        <f>_xlfn.XLOOKUP(Table2[[#This Row],[Trigger]],SwitchButtons[switch],SwitchButtons[input])+Table2[[#This Row],[start]]</f>
        <v>2</v>
      </c>
      <c r="H291" t="s">
        <v>525</v>
      </c>
      <c r="I291" t="str">
        <f>_xlfn.XLOOKUP(Table2[[#This Row],[set1]],circuitoutputs[circuit],circuitoutputs[device])</f>
        <v>D10</v>
      </c>
      <c r="J291">
        <f>_xlfn.XLOOKUP(Table2[[#This Row],[set1]],circuitoutputs[circuit],circuitoutputs[output])</f>
        <v>0</v>
      </c>
      <c r="K291" t="s">
        <v>494</v>
      </c>
    </row>
    <row r="292" spans="1:11" hidden="1" x14ac:dyDescent="0.25">
      <c r="A292" t="s">
        <v>125</v>
      </c>
      <c r="B292" t="s">
        <v>192</v>
      </c>
      <c r="C292" cm="1">
        <f t="array" ref="C292">_xlfn.XLOOKUP(1,(LightSpec[Location]=Table2[[#This Row],[lookup Room]]) * (LightSpec[DiagNo]=Table2[[#This Row],[lookup Device]]), LightSpec[startinput])</f>
        <v>0</v>
      </c>
      <c r="D292" t="s">
        <v>447</v>
      </c>
      <c r="E292" t="s">
        <v>501</v>
      </c>
      <c r="F292" t="str" cm="1">
        <f t="array" aca="1" ref="F292" ca="1">_xlfn.LET(
  _xlpm.txt, _xlfn.XLOOKUP(1,(LightSpec[Location]=Table2[[#This Row],[lookup Room]]) * (LightSpec[DiagNo]=Table2[[#This Row],[lookup Device]]),LightSpec[From]),
  _xlpm.n, LEN(_xlpm.txt),
  _xlpm.pos, MATCH(FALSE, ISNUMBER(MID(_xlpm.txt, ROW(INDIRECT("2:" &amp; _xlpm.n)), 1)*1), 0),
  LEFT(_xlpm.txt, _xlpm.pos)
)</f>
        <v>D7</v>
      </c>
      <c r="G292">
        <f>_xlfn.XLOOKUP(Table2[[#This Row],[Trigger]],SwitchButtons[switch],SwitchButtons[input])+Table2[[#This Row],[start]]</f>
        <v>2</v>
      </c>
      <c r="H292" t="s">
        <v>520</v>
      </c>
      <c r="I292" t="str">
        <f>_xlfn.XLOOKUP(Table2[[#This Row],[set1]],circuitoutputs[circuit],circuitoutputs[device])</f>
        <v>D5</v>
      </c>
      <c r="J292">
        <f>_xlfn.XLOOKUP(Table2[[#This Row],[set1]],circuitoutputs[circuit],circuitoutputs[output])</f>
        <v>0</v>
      </c>
      <c r="K292" t="s">
        <v>495</v>
      </c>
    </row>
    <row r="293" spans="1:11" hidden="1" x14ac:dyDescent="0.25">
      <c r="A293" t="s">
        <v>125</v>
      </c>
      <c r="B293" t="s">
        <v>192</v>
      </c>
      <c r="C293" cm="1">
        <f t="array" ref="C293">_xlfn.XLOOKUP(1,(LightSpec[Location]=Table2[[#This Row],[lookup Room]]) * (LightSpec[DiagNo]=Table2[[#This Row],[lookup Device]]), LightSpec[startinput])</f>
        <v>0</v>
      </c>
      <c r="D293" t="s">
        <v>447</v>
      </c>
      <c r="E293" t="s">
        <v>501</v>
      </c>
      <c r="F293" t="str" cm="1">
        <f t="array" aca="1" ref="F293" ca="1">_xlfn.LET(
  _xlpm.txt, _xlfn.XLOOKUP(1,(LightSpec[Location]=Table2[[#This Row],[lookup Room]]) * (LightSpec[DiagNo]=Table2[[#This Row],[lookup Device]]),LightSpec[From]),
  _xlpm.n, LEN(_xlpm.txt),
  _xlpm.pos, MATCH(FALSE, ISNUMBER(MID(_xlpm.txt, ROW(INDIRECT("2:" &amp; _xlpm.n)), 1)*1), 0),
  LEFT(_xlpm.txt, _xlpm.pos)
)</f>
        <v>D7</v>
      </c>
      <c r="G293">
        <f>_xlfn.XLOOKUP(Table2[[#This Row],[Trigger]],SwitchButtons[switch],SwitchButtons[input])+Table2[[#This Row],[start]]</f>
        <v>2</v>
      </c>
      <c r="H293" t="s">
        <v>557</v>
      </c>
      <c r="I293" t="str">
        <f>_xlfn.XLOOKUP(Table2[[#This Row],[set1]],circuitoutputs[circuit],circuitoutputs[device])</f>
        <v>D5</v>
      </c>
      <c r="J293">
        <f>_xlfn.XLOOKUP(Table2[[#This Row],[set1]],circuitoutputs[circuit],circuitoutputs[output])</f>
        <v>1</v>
      </c>
      <c r="K293" t="s">
        <v>595</v>
      </c>
    </row>
    <row r="294" spans="1:11" hidden="1" x14ac:dyDescent="0.25">
      <c r="A294" t="s">
        <v>125</v>
      </c>
      <c r="B294" t="s">
        <v>192</v>
      </c>
      <c r="C294" cm="1">
        <f t="array" ref="C294">_xlfn.XLOOKUP(1,(LightSpec[Location]=Table2[[#This Row],[lookup Room]]) * (LightSpec[DiagNo]=Table2[[#This Row],[lookup Device]]), LightSpec[startinput])</f>
        <v>0</v>
      </c>
      <c r="D294" t="s">
        <v>447</v>
      </c>
      <c r="E294" t="s">
        <v>501</v>
      </c>
      <c r="F294" t="str" cm="1">
        <f t="array" aca="1" ref="F294" ca="1">_xlfn.LET(
  _xlpm.txt, _xlfn.XLOOKUP(1,(LightSpec[Location]=Table2[[#This Row],[lookup Room]]) * (LightSpec[DiagNo]=Table2[[#This Row],[lookup Device]]),LightSpec[From]),
  _xlpm.n, LEN(_xlpm.txt),
  _xlpm.pos, MATCH(FALSE, ISNUMBER(MID(_xlpm.txt, ROW(INDIRECT("2:" &amp; _xlpm.n)), 1)*1), 0),
  LEFT(_xlpm.txt, _xlpm.pos)
)</f>
        <v>D7</v>
      </c>
      <c r="G294">
        <f>_xlfn.XLOOKUP(Table2[[#This Row],[Trigger]],SwitchButtons[switch],SwitchButtons[input])+Table2[[#This Row],[start]]</f>
        <v>2</v>
      </c>
      <c r="H294" t="s">
        <v>522</v>
      </c>
      <c r="I294" t="str">
        <f>_xlfn.XLOOKUP(Table2[[#This Row],[set1]],circuitoutputs[circuit],circuitoutputs[device])</f>
        <v>D7</v>
      </c>
      <c r="J294">
        <f>_xlfn.XLOOKUP(Table2[[#This Row],[set1]],circuitoutputs[circuit],circuitoutputs[output])</f>
        <v>0</v>
      </c>
      <c r="K294" t="s">
        <v>593</v>
      </c>
    </row>
    <row r="295" spans="1:11" hidden="1" x14ac:dyDescent="0.25">
      <c r="A295" t="s">
        <v>125</v>
      </c>
      <c r="B295" t="s">
        <v>192</v>
      </c>
      <c r="C295" cm="1">
        <f t="array" ref="C295">_xlfn.XLOOKUP(1,(LightSpec[Location]=Table2[[#This Row],[lookup Room]]) * (LightSpec[DiagNo]=Table2[[#This Row],[lookup Device]]), LightSpec[startinput])</f>
        <v>0</v>
      </c>
      <c r="D295" t="s">
        <v>447</v>
      </c>
      <c r="E295" t="s">
        <v>501</v>
      </c>
      <c r="F295" t="str" cm="1">
        <f t="array" aca="1" ref="F295" ca="1">_xlfn.LET(
  _xlpm.txt, _xlfn.XLOOKUP(1,(LightSpec[Location]=Table2[[#This Row],[lookup Room]]) * (LightSpec[DiagNo]=Table2[[#This Row],[lookup Device]]),LightSpec[From]),
  _xlpm.n, LEN(_xlpm.txt),
  _xlpm.pos, MATCH(FALSE, ISNUMBER(MID(_xlpm.txt, ROW(INDIRECT("2:" &amp; _xlpm.n)), 1)*1), 0),
  LEFT(_xlpm.txt, _xlpm.pos)
)</f>
        <v>D7</v>
      </c>
      <c r="G295">
        <f>_xlfn.XLOOKUP(Table2[[#This Row],[Trigger]],SwitchButtons[switch],SwitchButtons[input])+Table2[[#This Row],[start]]</f>
        <v>2</v>
      </c>
      <c r="H295" t="s">
        <v>559</v>
      </c>
      <c r="I295" t="str">
        <f>_xlfn.XLOOKUP(Table2[[#This Row],[set1]],circuitoutputs[circuit],circuitoutputs[device])</f>
        <v>D7</v>
      </c>
      <c r="J295">
        <f>_xlfn.XLOOKUP(Table2[[#This Row],[set1]],circuitoutputs[circuit],circuitoutputs[output])</f>
        <v>1</v>
      </c>
      <c r="K295" t="s">
        <v>593</v>
      </c>
    </row>
    <row r="296" spans="1:11" hidden="1" x14ac:dyDescent="0.25">
      <c r="A296" t="s">
        <v>125</v>
      </c>
      <c r="B296" t="s">
        <v>192</v>
      </c>
      <c r="C296" cm="1">
        <f t="array" ref="C296">_xlfn.XLOOKUP(1,(LightSpec[Location]=Table2[[#This Row],[lookup Room]]) * (LightSpec[DiagNo]=Table2[[#This Row],[lookup Device]]), LightSpec[startinput])</f>
        <v>0</v>
      </c>
      <c r="D296" t="s">
        <v>447</v>
      </c>
      <c r="E296" t="s">
        <v>501</v>
      </c>
      <c r="F296" t="str" cm="1">
        <f t="array" aca="1" ref="F296" ca="1">_xlfn.LET(
  _xlpm.txt, _xlfn.XLOOKUP(1,(LightSpec[Location]=Table2[[#This Row],[lookup Room]]) * (LightSpec[DiagNo]=Table2[[#This Row],[lookup Device]]),LightSpec[From]),
  _xlpm.n, LEN(_xlpm.txt),
  _xlpm.pos, MATCH(FALSE, ISNUMBER(MID(_xlpm.txt, ROW(INDIRECT("2:" &amp; _xlpm.n)), 1)*1), 0),
  LEFT(_xlpm.txt, _xlpm.pos)
)</f>
        <v>D7</v>
      </c>
      <c r="G296">
        <f>_xlfn.XLOOKUP(Table2[[#This Row],[Trigger]],SwitchButtons[switch],SwitchButtons[input])+Table2[[#This Row],[start]]</f>
        <v>2</v>
      </c>
      <c r="H296" t="s">
        <v>523</v>
      </c>
      <c r="I296" t="str">
        <f>_xlfn.XLOOKUP(Table2[[#This Row],[set1]],circuitoutputs[circuit],circuitoutputs[device])</f>
        <v>D8</v>
      </c>
      <c r="J296">
        <f>_xlfn.XLOOKUP(Table2[[#This Row],[set1]],circuitoutputs[circuit],circuitoutputs[output])</f>
        <v>0</v>
      </c>
      <c r="K296" t="s">
        <v>495</v>
      </c>
    </row>
    <row r="297" spans="1:11" hidden="1" x14ac:dyDescent="0.25">
      <c r="A297" t="s">
        <v>125</v>
      </c>
      <c r="B297" t="s">
        <v>192</v>
      </c>
      <c r="C297" cm="1">
        <f t="array" ref="C297">_xlfn.XLOOKUP(1,(LightSpec[Location]=Table2[[#This Row],[lookup Room]]) * (LightSpec[DiagNo]=Table2[[#This Row],[lookup Device]]), LightSpec[startinput])</f>
        <v>0</v>
      </c>
      <c r="D297" t="s">
        <v>447</v>
      </c>
      <c r="E297" t="s">
        <v>501</v>
      </c>
      <c r="F297" t="str" cm="1">
        <f t="array" aca="1" ref="F297" ca="1">_xlfn.LET(
  _xlpm.txt, _xlfn.XLOOKUP(1,(LightSpec[Location]=Table2[[#This Row],[lookup Room]]) * (LightSpec[DiagNo]=Table2[[#This Row],[lookup Device]]),LightSpec[From]),
  _xlpm.n, LEN(_xlpm.txt),
  _xlpm.pos, MATCH(FALSE, ISNUMBER(MID(_xlpm.txt, ROW(INDIRECT("2:" &amp; _xlpm.n)), 1)*1), 0),
  LEFT(_xlpm.txt, _xlpm.pos)
)</f>
        <v>D7</v>
      </c>
      <c r="G297">
        <f>_xlfn.XLOOKUP(Table2[[#This Row],[Trigger]],SwitchButtons[switch],SwitchButtons[input])+Table2[[#This Row],[start]]</f>
        <v>2</v>
      </c>
      <c r="H297" t="s">
        <v>560</v>
      </c>
      <c r="I297" t="str">
        <f>_xlfn.XLOOKUP(Table2[[#This Row],[set1]],circuitoutputs[circuit],circuitoutputs[device])</f>
        <v>D8</v>
      </c>
      <c r="J297">
        <f>_xlfn.XLOOKUP(Table2[[#This Row],[set1]],circuitoutputs[circuit],circuitoutputs[output])</f>
        <v>1</v>
      </c>
      <c r="K297" t="s">
        <v>593</v>
      </c>
    </row>
    <row r="298" spans="1:11" hidden="1" x14ac:dyDescent="0.25">
      <c r="A298" t="s">
        <v>125</v>
      </c>
      <c r="B298" t="s">
        <v>192</v>
      </c>
      <c r="C298" cm="1">
        <f t="array" ref="C298">_xlfn.XLOOKUP(1,(LightSpec[Location]=Table2[[#This Row],[lookup Room]]) * (LightSpec[DiagNo]=Table2[[#This Row],[lookup Device]]), LightSpec[startinput])</f>
        <v>0</v>
      </c>
      <c r="D298" t="s">
        <v>447</v>
      </c>
      <c r="E298" t="s">
        <v>501</v>
      </c>
      <c r="F298" t="str" cm="1">
        <f t="array" aca="1" ref="F298" ca="1">_xlfn.LET(
  _xlpm.txt, _xlfn.XLOOKUP(1,(LightSpec[Location]=Table2[[#This Row],[lookup Room]]) * (LightSpec[DiagNo]=Table2[[#This Row],[lookup Device]]),LightSpec[From]),
  _xlpm.n, LEN(_xlpm.txt),
  _xlpm.pos, MATCH(FALSE, ISNUMBER(MID(_xlpm.txt, ROW(INDIRECT("2:" &amp; _xlpm.n)), 1)*1), 0),
  LEFT(_xlpm.txt, _xlpm.pos)
)</f>
        <v>D7</v>
      </c>
      <c r="G298">
        <f>_xlfn.XLOOKUP(Table2[[#This Row],[Trigger]],SwitchButtons[switch],SwitchButtons[input])+Table2[[#This Row],[start]]</f>
        <v>2</v>
      </c>
      <c r="H298" t="s">
        <v>513</v>
      </c>
      <c r="I298" t="str">
        <f>_xlfn.XLOOKUP(Table2[[#This Row],[set1]],circuitoutputs[circuit],circuitoutputs[device])</f>
        <v>P4</v>
      </c>
      <c r="J298">
        <f>_xlfn.XLOOKUP(Table2[[#This Row],[set1]],circuitoutputs[circuit],circuitoutputs[output])</f>
        <v>0</v>
      </c>
      <c r="K298" t="s">
        <v>593</v>
      </c>
    </row>
    <row r="299" spans="1:11" hidden="1" x14ac:dyDescent="0.25">
      <c r="A299" t="s">
        <v>125</v>
      </c>
      <c r="B299" t="s">
        <v>192</v>
      </c>
      <c r="C299" cm="1">
        <f t="array" ref="C299">_xlfn.XLOOKUP(1,(LightSpec[Location]=Table2[[#This Row],[lookup Room]]) * (LightSpec[DiagNo]=Table2[[#This Row],[lookup Device]]), LightSpec[startinput])</f>
        <v>0</v>
      </c>
      <c r="D299" t="s">
        <v>447</v>
      </c>
      <c r="E299" t="s">
        <v>501</v>
      </c>
      <c r="F299" t="str" cm="1">
        <f t="array" aca="1" ref="F299" ca="1">_xlfn.LET(
  _xlpm.txt, _xlfn.XLOOKUP(1,(LightSpec[Location]=Table2[[#This Row],[lookup Room]]) * (LightSpec[DiagNo]=Table2[[#This Row],[lookup Device]]),LightSpec[From]),
  _xlpm.n, LEN(_xlpm.txt),
  _xlpm.pos, MATCH(FALSE, ISNUMBER(MID(_xlpm.txt, ROW(INDIRECT("2:" &amp; _xlpm.n)), 1)*1), 0),
  LEFT(_xlpm.txt, _xlpm.pos)
)</f>
        <v>D7</v>
      </c>
      <c r="G299">
        <f>_xlfn.XLOOKUP(Table2[[#This Row],[Trigger]],SwitchButtons[switch],SwitchButtons[input])+Table2[[#This Row],[start]]</f>
        <v>2</v>
      </c>
      <c r="H299" t="s">
        <v>561</v>
      </c>
      <c r="I299" t="str">
        <f>_xlfn.XLOOKUP(Table2[[#This Row],[set1]],circuitoutputs[circuit],circuitoutputs[device])</f>
        <v>D9</v>
      </c>
      <c r="J299">
        <f>_xlfn.XLOOKUP(Table2[[#This Row],[set1]],circuitoutputs[circuit],circuitoutputs[output])</f>
        <v>1</v>
      </c>
      <c r="K299" t="s">
        <v>593</v>
      </c>
    </row>
    <row r="300" spans="1:11" hidden="1" x14ac:dyDescent="0.25">
      <c r="A300" t="s">
        <v>125</v>
      </c>
      <c r="B300" t="s">
        <v>192</v>
      </c>
      <c r="C300" cm="1">
        <f t="array" ref="C300">_xlfn.XLOOKUP(1,(LightSpec[Location]=Table2[[#This Row],[lookup Room]]) * (LightSpec[DiagNo]=Table2[[#This Row],[lookup Device]]), LightSpec[startinput])</f>
        <v>0</v>
      </c>
      <c r="D300" t="s">
        <v>447</v>
      </c>
      <c r="E300" t="s">
        <v>501</v>
      </c>
      <c r="F300" t="str" cm="1">
        <f t="array" aca="1" ref="F300" ca="1">_xlfn.LET(
  _xlpm.txt, _xlfn.XLOOKUP(1,(LightSpec[Location]=Table2[[#This Row],[lookup Room]]) * (LightSpec[DiagNo]=Table2[[#This Row],[lookup Device]]),LightSpec[From]),
  _xlpm.n, LEN(_xlpm.txt),
  _xlpm.pos, MATCH(FALSE, ISNUMBER(MID(_xlpm.txt, ROW(INDIRECT("2:" &amp; _xlpm.n)), 1)*1), 0),
  LEFT(_xlpm.txt, _xlpm.pos)
)</f>
        <v>D7</v>
      </c>
      <c r="G300">
        <f>_xlfn.XLOOKUP(Table2[[#This Row],[Trigger]],SwitchButtons[switch],SwitchButtons[input])+Table2[[#This Row],[start]]</f>
        <v>2</v>
      </c>
      <c r="H300" t="s">
        <v>525</v>
      </c>
      <c r="I300" t="str">
        <f>_xlfn.XLOOKUP(Table2[[#This Row],[set1]],circuitoutputs[circuit],circuitoutputs[device])</f>
        <v>D10</v>
      </c>
      <c r="J300">
        <f>_xlfn.XLOOKUP(Table2[[#This Row],[set1]],circuitoutputs[circuit],circuitoutputs[output])</f>
        <v>0</v>
      </c>
      <c r="K300" t="s">
        <v>593</v>
      </c>
    </row>
    <row r="301" spans="1:11" hidden="1" x14ac:dyDescent="0.25">
      <c r="A301" t="s">
        <v>125</v>
      </c>
      <c r="B301" t="s">
        <v>192</v>
      </c>
      <c r="C301" cm="1">
        <f t="array" ref="C301">_xlfn.XLOOKUP(1,(LightSpec[Location]=Table2[[#This Row],[lookup Room]]) * (LightSpec[DiagNo]=Table2[[#This Row],[lookup Device]]), LightSpec[startinput])</f>
        <v>0</v>
      </c>
      <c r="D301" t="s">
        <v>447</v>
      </c>
      <c r="E301" t="s">
        <v>503</v>
      </c>
      <c r="F301" t="str" cm="1">
        <f t="array" aca="1" ref="F301" ca="1">_xlfn.LET(
  _xlpm.txt, _xlfn.XLOOKUP(1,(LightSpec[Location]=Table2[[#This Row],[lookup Room]]) * (LightSpec[DiagNo]=Table2[[#This Row],[lookup Device]]),LightSpec[From]),
  _xlpm.n, LEN(_xlpm.txt),
  _xlpm.pos, MATCH(FALSE, ISNUMBER(MID(_xlpm.txt, ROW(INDIRECT("2:" &amp; _xlpm.n)), 1)*1), 0),
  LEFT(_xlpm.txt, _xlpm.pos)
)</f>
        <v>D7</v>
      </c>
      <c r="G301">
        <f>_xlfn.XLOOKUP(Table2[[#This Row],[Trigger]],SwitchButtons[switch],SwitchButtons[input])+Table2[[#This Row],[start]]</f>
        <v>2</v>
      </c>
      <c r="H301" t="s">
        <v>520</v>
      </c>
      <c r="I301" t="str">
        <f>_xlfn.XLOOKUP(Table2[[#This Row],[set1]],circuitoutputs[circuit],circuitoutputs[device])</f>
        <v>D5</v>
      </c>
      <c r="J301">
        <f>_xlfn.XLOOKUP(Table2[[#This Row],[set1]],circuitoutputs[circuit],circuitoutputs[output])</f>
        <v>0</v>
      </c>
      <c r="K301" t="s">
        <v>596</v>
      </c>
    </row>
    <row r="302" spans="1:11" hidden="1" x14ac:dyDescent="0.25">
      <c r="A302" t="s">
        <v>125</v>
      </c>
      <c r="B302" t="s">
        <v>192</v>
      </c>
      <c r="C302" cm="1">
        <f t="array" ref="C302">_xlfn.XLOOKUP(1,(LightSpec[Location]=Table2[[#This Row],[lookup Room]]) * (LightSpec[DiagNo]=Table2[[#This Row],[lookup Device]]), LightSpec[startinput])</f>
        <v>0</v>
      </c>
      <c r="D302" t="s">
        <v>447</v>
      </c>
      <c r="E302" t="s">
        <v>503</v>
      </c>
      <c r="F302" t="str" cm="1">
        <f t="array" aca="1" ref="F302" ca="1">_xlfn.LET(
  _xlpm.txt, _xlfn.XLOOKUP(1,(LightSpec[Location]=Table2[[#This Row],[lookup Room]]) * (LightSpec[DiagNo]=Table2[[#This Row],[lookup Device]]),LightSpec[From]),
  _xlpm.n, LEN(_xlpm.txt),
  _xlpm.pos, MATCH(FALSE, ISNUMBER(MID(_xlpm.txt, ROW(INDIRECT("2:" &amp; _xlpm.n)), 1)*1), 0),
  LEFT(_xlpm.txt, _xlpm.pos)
)</f>
        <v>D7</v>
      </c>
      <c r="G302">
        <f>_xlfn.XLOOKUP(Table2[[#This Row],[Trigger]],SwitchButtons[switch],SwitchButtons[input])+Table2[[#This Row],[start]]</f>
        <v>2</v>
      </c>
      <c r="H302" t="s">
        <v>557</v>
      </c>
      <c r="I302" t="str">
        <f>_xlfn.XLOOKUP(Table2[[#This Row],[set1]],circuitoutputs[circuit],circuitoutputs[device])</f>
        <v>D5</v>
      </c>
      <c r="J302">
        <f>_xlfn.XLOOKUP(Table2[[#This Row],[set1]],circuitoutputs[circuit],circuitoutputs[output])</f>
        <v>1</v>
      </c>
      <c r="K302" t="s">
        <v>596</v>
      </c>
    </row>
    <row r="303" spans="1:11" hidden="1" x14ac:dyDescent="0.25">
      <c r="A303" t="s">
        <v>125</v>
      </c>
      <c r="B303" t="s">
        <v>192</v>
      </c>
      <c r="C303" cm="1">
        <f t="array" ref="C303">_xlfn.XLOOKUP(1,(LightSpec[Location]=Table2[[#This Row],[lookup Room]]) * (LightSpec[DiagNo]=Table2[[#This Row],[lookup Device]]), LightSpec[startinput])</f>
        <v>0</v>
      </c>
      <c r="D303" t="s">
        <v>447</v>
      </c>
      <c r="E303" t="s">
        <v>503</v>
      </c>
      <c r="F303" t="str" cm="1">
        <f t="array" aca="1" ref="F303" ca="1">_xlfn.LET(
  _xlpm.txt, _xlfn.XLOOKUP(1,(LightSpec[Location]=Table2[[#This Row],[lookup Room]]) * (LightSpec[DiagNo]=Table2[[#This Row],[lookup Device]]),LightSpec[From]),
  _xlpm.n, LEN(_xlpm.txt),
  _xlpm.pos, MATCH(FALSE, ISNUMBER(MID(_xlpm.txt, ROW(INDIRECT("2:" &amp; _xlpm.n)), 1)*1), 0),
  LEFT(_xlpm.txt, _xlpm.pos)
)</f>
        <v>D7</v>
      </c>
      <c r="G303">
        <f>_xlfn.XLOOKUP(Table2[[#This Row],[Trigger]],SwitchButtons[switch],SwitchButtons[input])+Table2[[#This Row],[start]]</f>
        <v>2</v>
      </c>
      <c r="H303" t="s">
        <v>522</v>
      </c>
      <c r="I303" t="str">
        <f>_xlfn.XLOOKUP(Table2[[#This Row],[set1]],circuitoutputs[circuit],circuitoutputs[device])</f>
        <v>D7</v>
      </c>
      <c r="J303">
        <f>_xlfn.XLOOKUP(Table2[[#This Row],[set1]],circuitoutputs[circuit],circuitoutputs[output])</f>
        <v>0</v>
      </c>
      <c r="K303" t="s">
        <v>596</v>
      </c>
    </row>
    <row r="304" spans="1:11" hidden="1" x14ac:dyDescent="0.25">
      <c r="A304" t="s">
        <v>125</v>
      </c>
      <c r="B304" t="s">
        <v>192</v>
      </c>
      <c r="C304" cm="1">
        <f t="array" ref="C304">_xlfn.XLOOKUP(1,(LightSpec[Location]=Table2[[#This Row],[lookup Room]]) * (LightSpec[DiagNo]=Table2[[#This Row],[lookup Device]]), LightSpec[startinput])</f>
        <v>0</v>
      </c>
      <c r="D304" t="s">
        <v>447</v>
      </c>
      <c r="E304" t="s">
        <v>503</v>
      </c>
      <c r="F304" t="str" cm="1">
        <f t="array" aca="1" ref="F304" ca="1">_xlfn.LET(
  _xlpm.txt, _xlfn.XLOOKUP(1,(LightSpec[Location]=Table2[[#This Row],[lookup Room]]) * (LightSpec[DiagNo]=Table2[[#This Row],[lookup Device]]),LightSpec[From]),
  _xlpm.n, LEN(_xlpm.txt),
  _xlpm.pos, MATCH(FALSE, ISNUMBER(MID(_xlpm.txt, ROW(INDIRECT("2:" &amp; _xlpm.n)), 1)*1), 0),
  LEFT(_xlpm.txt, _xlpm.pos)
)</f>
        <v>D7</v>
      </c>
      <c r="G304">
        <f>_xlfn.XLOOKUP(Table2[[#This Row],[Trigger]],SwitchButtons[switch],SwitchButtons[input])+Table2[[#This Row],[start]]</f>
        <v>2</v>
      </c>
      <c r="H304" t="s">
        <v>559</v>
      </c>
      <c r="I304" t="str">
        <f>_xlfn.XLOOKUP(Table2[[#This Row],[set1]],circuitoutputs[circuit],circuitoutputs[device])</f>
        <v>D7</v>
      </c>
      <c r="J304">
        <f>_xlfn.XLOOKUP(Table2[[#This Row],[set1]],circuitoutputs[circuit],circuitoutputs[output])</f>
        <v>1</v>
      </c>
      <c r="K304" t="s">
        <v>596</v>
      </c>
    </row>
    <row r="305" spans="1:11" hidden="1" x14ac:dyDescent="0.25">
      <c r="A305" t="s">
        <v>125</v>
      </c>
      <c r="B305" t="s">
        <v>192</v>
      </c>
      <c r="C305" cm="1">
        <f t="array" ref="C305">_xlfn.XLOOKUP(1,(LightSpec[Location]=Table2[[#This Row],[lookup Room]]) * (LightSpec[DiagNo]=Table2[[#This Row],[lookup Device]]), LightSpec[startinput])</f>
        <v>0</v>
      </c>
      <c r="D305" t="s">
        <v>447</v>
      </c>
      <c r="E305" t="s">
        <v>503</v>
      </c>
      <c r="F305" t="str" cm="1">
        <f t="array" aca="1" ref="F305" ca="1">_xlfn.LET(
  _xlpm.txt, _xlfn.XLOOKUP(1,(LightSpec[Location]=Table2[[#This Row],[lookup Room]]) * (LightSpec[DiagNo]=Table2[[#This Row],[lookup Device]]),LightSpec[From]),
  _xlpm.n, LEN(_xlpm.txt),
  _xlpm.pos, MATCH(FALSE, ISNUMBER(MID(_xlpm.txt, ROW(INDIRECT("2:" &amp; _xlpm.n)), 1)*1), 0),
  LEFT(_xlpm.txt, _xlpm.pos)
)</f>
        <v>D7</v>
      </c>
      <c r="G305">
        <f>_xlfn.XLOOKUP(Table2[[#This Row],[Trigger]],SwitchButtons[switch],SwitchButtons[input])+Table2[[#This Row],[start]]</f>
        <v>2</v>
      </c>
      <c r="H305" t="s">
        <v>523</v>
      </c>
      <c r="I305" t="str">
        <f>_xlfn.XLOOKUP(Table2[[#This Row],[set1]],circuitoutputs[circuit],circuitoutputs[device])</f>
        <v>D8</v>
      </c>
      <c r="J305">
        <f>_xlfn.XLOOKUP(Table2[[#This Row],[set1]],circuitoutputs[circuit],circuitoutputs[output])</f>
        <v>0</v>
      </c>
      <c r="K305" t="s">
        <v>596</v>
      </c>
    </row>
    <row r="306" spans="1:11" hidden="1" x14ac:dyDescent="0.25">
      <c r="A306" t="s">
        <v>125</v>
      </c>
      <c r="B306" t="s">
        <v>192</v>
      </c>
      <c r="C306" cm="1">
        <f t="array" ref="C306">_xlfn.XLOOKUP(1,(LightSpec[Location]=Table2[[#This Row],[lookup Room]]) * (LightSpec[DiagNo]=Table2[[#This Row],[lookup Device]]), LightSpec[startinput])</f>
        <v>0</v>
      </c>
      <c r="D306" t="s">
        <v>447</v>
      </c>
      <c r="E306" t="s">
        <v>503</v>
      </c>
      <c r="F306" t="str" cm="1">
        <f t="array" aca="1" ref="F306" ca="1">_xlfn.LET(
  _xlpm.txt, _xlfn.XLOOKUP(1,(LightSpec[Location]=Table2[[#This Row],[lookup Room]]) * (LightSpec[DiagNo]=Table2[[#This Row],[lookup Device]]),LightSpec[From]),
  _xlpm.n, LEN(_xlpm.txt),
  _xlpm.pos, MATCH(FALSE, ISNUMBER(MID(_xlpm.txt, ROW(INDIRECT("2:" &amp; _xlpm.n)), 1)*1), 0),
  LEFT(_xlpm.txt, _xlpm.pos)
)</f>
        <v>D7</v>
      </c>
      <c r="G306">
        <f>_xlfn.XLOOKUP(Table2[[#This Row],[Trigger]],SwitchButtons[switch],SwitchButtons[input])+Table2[[#This Row],[start]]</f>
        <v>2</v>
      </c>
      <c r="H306" t="s">
        <v>560</v>
      </c>
      <c r="I306" t="str">
        <f>_xlfn.XLOOKUP(Table2[[#This Row],[set1]],circuitoutputs[circuit],circuitoutputs[device])</f>
        <v>D8</v>
      </c>
      <c r="J306">
        <f>_xlfn.XLOOKUP(Table2[[#This Row],[set1]],circuitoutputs[circuit],circuitoutputs[output])</f>
        <v>1</v>
      </c>
      <c r="K306" t="s">
        <v>596</v>
      </c>
    </row>
    <row r="307" spans="1:11" hidden="1" x14ac:dyDescent="0.25">
      <c r="A307" t="s">
        <v>125</v>
      </c>
      <c r="B307" t="s">
        <v>192</v>
      </c>
      <c r="C307" cm="1">
        <f t="array" ref="C307">_xlfn.XLOOKUP(1,(LightSpec[Location]=Table2[[#This Row],[lookup Room]]) * (LightSpec[DiagNo]=Table2[[#This Row],[lookup Device]]), LightSpec[startinput])</f>
        <v>0</v>
      </c>
      <c r="D307" t="s">
        <v>447</v>
      </c>
      <c r="E307" t="s">
        <v>503</v>
      </c>
      <c r="F307" t="str" cm="1">
        <f t="array" aca="1" ref="F307" ca="1">_xlfn.LET(
  _xlpm.txt, _xlfn.XLOOKUP(1,(LightSpec[Location]=Table2[[#This Row],[lookup Room]]) * (LightSpec[DiagNo]=Table2[[#This Row],[lookup Device]]),LightSpec[From]),
  _xlpm.n, LEN(_xlpm.txt),
  _xlpm.pos, MATCH(FALSE, ISNUMBER(MID(_xlpm.txt, ROW(INDIRECT("2:" &amp; _xlpm.n)), 1)*1), 0),
  LEFT(_xlpm.txt, _xlpm.pos)
)</f>
        <v>D7</v>
      </c>
      <c r="G307">
        <f>_xlfn.XLOOKUP(Table2[[#This Row],[Trigger]],SwitchButtons[switch],SwitchButtons[input])+Table2[[#This Row],[start]]</f>
        <v>2</v>
      </c>
      <c r="H307" t="s">
        <v>513</v>
      </c>
      <c r="I307" t="str">
        <f>_xlfn.XLOOKUP(Table2[[#This Row],[set1]],circuitoutputs[circuit],circuitoutputs[device])</f>
        <v>P4</v>
      </c>
      <c r="J307">
        <f>_xlfn.XLOOKUP(Table2[[#This Row],[set1]],circuitoutputs[circuit],circuitoutputs[output])</f>
        <v>0</v>
      </c>
      <c r="K307" t="s">
        <v>596</v>
      </c>
    </row>
    <row r="308" spans="1:11" hidden="1" x14ac:dyDescent="0.25">
      <c r="A308" t="s">
        <v>125</v>
      </c>
      <c r="B308" t="s">
        <v>192</v>
      </c>
      <c r="C308" cm="1">
        <f t="array" ref="C308">_xlfn.XLOOKUP(1,(LightSpec[Location]=Table2[[#This Row],[lookup Room]]) * (LightSpec[DiagNo]=Table2[[#This Row],[lookup Device]]), LightSpec[startinput])</f>
        <v>0</v>
      </c>
      <c r="D308" t="s">
        <v>447</v>
      </c>
      <c r="E308" t="s">
        <v>503</v>
      </c>
      <c r="F308" t="str" cm="1">
        <f t="array" aca="1" ref="F308" ca="1">_xlfn.LET(
  _xlpm.txt, _xlfn.XLOOKUP(1,(LightSpec[Location]=Table2[[#This Row],[lookup Room]]) * (LightSpec[DiagNo]=Table2[[#This Row],[lookup Device]]),LightSpec[From]),
  _xlpm.n, LEN(_xlpm.txt),
  _xlpm.pos, MATCH(FALSE, ISNUMBER(MID(_xlpm.txt, ROW(INDIRECT("2:" &amp; _xlpm.n)), 1)*1), 0),
  LEFT(_xlpm.txt, _xlpm.pos)
)</f>
        <v>D7</v>
      </c>
      <c r="G308">
        <f>_xlfn.XLOOKUP(Table2[[#This Row],[Trigger]],SwitchButtons[switch],SwitchButtons[input])+Table2[[#This Row],[start]]</f>
        <v>2</v>
      </c>
      <c r="H308" t="s">
        <v>561</v>
      </c>
      <c r="I308" t="str">
        <f>_xlfn.XLOOKUP(Table2[[#This Row],[set1]],circuitoutputs[circuit],circuitoutputs[device])</f>
        <v>D9</v>
      </c>
      <c r="J308">
        <f>_xlfn.XLOOKUP(Table2[[#This Row],[set1]],circuitoutputs[circuit],circuitoutputs[output])</f>
        <v>1</v>
      </c>
      <c r="K308" t="s">
        <v>596</v>
      </c>
    </row>
    <row r="309" spans="1:11" hidden="1" x14ac:dyDescent="0.25">
      <c r="A309" t="s">
        <v>125</v>
      </c>
      <c r="B309" t="s">
        <v>192</v>
      </c>
      <c r="C309" cm="1">
        <f t="array" ref="C309">_xlfn.XLOOKUP(1,(LightSpec[Location]=Table2[[#This Row],[lookup Room]]) * (LightSpec[DiagNo]=Table2[[#This Row],[lookup Device]]), LightSpec[startinput])</f>
        <v>0</v>
      </c>
      <c r="D309" t="s">
        <v>447</v>
      </c>
      <c r="E309" t="s">
        <v>503</v>
      </c>
      <c r="F309" t="str" cm="1">
        <f t="array" aca="1" ref="F309" ca="1">_xlfn.LET(
  _xlpm.txt, _xlfn.XLOOKUP(1,(LightSpec[Location]=Table2[[#This Row],[lookup Room]]) * (LightSpec[DiagNo]=Table2[[#This Row],[lookup Device]]),LightSpec[From]),
  _xlpm.n, LEN(_xlpm.txt),
  _xlpm.pos, MATCH(FALSE, ISNUMBER(MID(_xlpm.txt, ROW(INDIRECT("2:" &amp; _xlpm.n)), 1)*1), 0),
  LEFT(_xlpm.txt, _xlpm.pos)
)</f>
        <v>D7</v>
      </c>
      <c r="G309">
        <f>_xlfn.XLOOKUP(Table2[[#This Row],[Trigger]],SwitchButtons[switch],SwitchButtons[input])+Table2[[#This Row],[start]]</f>
        <v>2</v>
      </c>
      <c r="H309" t="s">
        <v>525</v>
      </c>
      <c r="I309" t="str">
        <f>_xlfn.XLOOKUP(Table2[[#This Row],[set1]],circuitoutputs[circuit],circuitoutputs[device])</f>
        <v>D10</v>
      </c>
      <c r="J309">
        <f>_xlfn.XLOOKUP(Table2[[#This Row],[set1]],circuitoutputs[circuit],circuitoutputs[output])</f>
        <v>0</v>
      </c>
      <c r="K309" t="s">
        <v>596</v>
      </c>
    </row>
    <row r="310" spans="1:11" hidden="1" x14ac:dyDescent="0.25">
      <c r="A310" t="s">
        <v>125</v>
      </c>
      <c r="B310" t="s">
        <v>192</v>
      </c>
      <c r="C310" cm="1">
        <f t="array" ref="C310">_xlfn.XLOOKUP(1,(LightSpec[Location]=Table2[[#This Row],[lookup Room]]) * (LightSpec[DiagNo]=Table2[[#This Row],[lookup Device]]), LightSpec[startinput])</f>
        <v>0</v>
      </c>
      <c r="D310" t="s">
        <v>448</v>
      </c>
      <c r="E310" t="s">
        <v>500</v>
      </c>
      <c r="F310" t="str" cm="1">
        <f t="array" aca="1" ref="F310" ca="1">_xlfn.LET(
  _xlpm.txt, _xlfn.XLOOKUP(1,(LightSpec[Location]=Table2[[#This Row],[lookup Room]]) * (LightSpec[DiagNo]=Table2[[#This Row],[lookup Device]]),LightSpec[From]),
  _xlpm.n, LEN(_xlpm.txt),
  _xlpm.pos, MATCH(FALSE, ISNUMBER(MID(_xlpm.txt, ROW(INDIRECT("2:" &amp; _xlpm.n)), 1)*1), 0),
  LEFT(_xlpm.txt, _xlpm.pos)
)</f>
        <v>D7</v>
      </c>
      <c r="G310">
        <f>_xlfn.XLOOKUP(Table2[[#This Row],[Trigger]],SwitchButtons[switch],SwitchButtons[input])+Table2[[#This Row],[start]]</f>
        <v>3</v>
      </c>
      <c r="H310" t="s">
        <v>522</v>
      </c>
      <c r="I310" t="str">
        <f>_xlfn.XLOOKUP(Table2[[#This Row],[set1]],circuitoutputs[circuit],circuitoutputs[device])</f>
        <v>D7</v>
      </c>
      <c r="J310">
        <f>_xlfn.XLOOKUP(Table2[[#This Row],[set1]],circuitoutputs[circuit],circuitoutputs[output])</f>
        <v>0</v>
      </c>
      <c r="K310" t="s">
        <v>495</v>
      </c>
    </row>
    <row r="311" spans="1:11" hidden="1" x14ac:dyDescent="0.25">
      <c r="A311" t="s">
        <v>125</v>
      </c>
      <c r="B311" t="s">
        <v>192</v>
      </c>
      <c r="C311" cm="1">
        <f t="array" ref="C311">_xlfn.XLOOKUP(1,(LightSpec[Location]=Table2[[#This Row],[lookup Room]]) * (LightSpec[DiagNo]=Table2[[#This Row],[lookup Device]]), LightSpec[startinput])</f>
        <v>0</v>
      </c>
      <c r="D311" t="s">
        <v>448</v>
      </c>
      <c r="E311" t="s">
        <v>500</v>
      </c>
      <c r="F311" t="str" cm="1">
        <f t="array" aca="1" ref="F311" ca="1">_xlfn.LET(
  _xlpm.txt, _xlfn.XLOOKUP(1,(LightSpec[Location]=Table2[[#This Row],[lookup Room]]) * (LightSpec[DiagNo]=Table2[[#This Row],[lookup Device]]),LightSpec[From]),
  _xlpm.n, LEN(_xlpm.txt),
  _xlpm.pos, MATCH(FALSE, ISNUMBER(MID(_xlpm.txt, ROW(INDIRECT("2:" &amp; _xlpm.n)), 1)*1), 0),
  LEFT(_xlpm.txt, _xlpm.pos)
)</f>
        <v>D7</v>
      </c>
      <c r="G311">
        <f>_xlfn.XLOOKUP(Table2[[#This Row],[Trigger]],SwitchButtons[switch],SwitchButtons[input])+Table2[[#This Row],[start]]</f>
        <v>3</v>
      </c>
      <c r="H311" t="s">
        <v>559</v>
      </c>
      <c r="I311" t="str">
        <f>_xlfn.XLOOKUP(Table2[[#This Row],[set1]],circuitoutputs[circuit],circuitoutputs[device])</f>
        <v>D7</v>
      </c>
      <c r="J311">
        <f>_xlfn.XLOOKUP(Table2[[#This Row],[set1]],circuitoutputs[circuit],circuitoutputs[output])</f>
        <v>1</v>
      </c>
      <c r="K311" t="s">
        <v>495</v>
      </c>
    </row>
    <row r="312" spans="1:11" hidden="1" x14ac:dyDescent="0.25">
      <c r="A312" t="s">
        <v>125</v>
      </c>
      <c r="B312" t="s">
        <v>192</v>
      </c>
      <c r="C312" cm="1">
        <f t="array" ref="C312">_xlfn.XLOOKUP(1,(LightSpec[Location]=Table2[[#This Row],[lookup Room]]) * (LightSpec[DiagNo]=Table2[[#This Row],[lookup Device]]), LightSpec[startinput])</f>
        <v>0</v>
      </c>
      <c r="D312" t="s">
        <v>448</v>
      </c>
      <c r="E312" t="s">
        <v>500</v>
      </c>
      <c r="F312" t="str" cm="1">
        <f t="array" aca="1" ref="F312" ca="1">_xlfn.LET(
  _xlpm.txt, _xlfn.XLOOKUP(1,(LightSpec[Location]=Table2[[#This Row],[lookup Room]]) * (LightSpec[DiagNo]=Table2[[#This Row],[lookup Device]]),LightSpec[From]),
  _xlpm.n, LEN(_xlpm.txt),
  _xlpm.pos, MATCH(FALSE, ISNUMBER(MID(_xlpm.txt, ROW(INDIRECT("2:" &amp; _xlpm.n)), 1)*1), 0),
  LEFT(_xlpm.txt, _xlpm.pos)
)</f>
        <v>D7</v>
      </c>
      <c r="G312">
        <f>_xlfn.XLOOKUP(Table2[[#This Row],[Trigger]],SwitchButtons[switch],SwitchButtons[input])+Table2[[#This Row],[start]]</f>
        <v>3</v>
      </c>
      <c r="H312" t="s">
        <v>523</v>
      </c>
      <c r="I312" t="str">
        <f>_xlfn.XLOOKUP(Table2[[#This Row],[set1]],circuitoutputs[circuit],circuitoutputs[device])</f>
        <v>D8</v>
      </c>
      <c r="J312">
        <f>_xlfn.XLOOKUP(Table2[[#This Row],[set1]],circuitoutputs[circuit],circuitoutputs[output])</f>
        <v>0</v>
      </c>
      <c r="K312" t="s">
        <v>495</v>
      </c>
    </row>
    <row r="313" spans="1:11" hidden="1" x14ac:dyDescent="0.25">
      <c r="A313" t="s">
        <v>125</v>
      </c>
      <c r="B313" t="s">
        <v>192</v>
      </c>
      <c r="C313" cm="1">
        <f t="array" ref="C313">_xlfn.XLOOKUP(1,(LightSpec[Location]=Table2[[#This Row],[lookup Room]]) * (LightSpec[DiagNo]=Table2[[#This Row],[lookup Device]]), LightSpec[startinput])</f>
        <v>0</v>
      </c>
      <c r="D313" t="s">
        <v>448</v>
      </c>
      <c r="E313" t="s">
        <v>500</v>
      </c>
      <c r="F313" t="str" cm="1">
        <f t="array" aca="1" ref="F313" ca="1">_xlfn.LET(
  _xlpm.txt, _xlfn.XLOOKUP(1,(LightSpec[Location]=Table2[[#This Row],[lookup Room]]) * (LightSpec[DiagNo]=Table2[[#This Row],[lookup Device]]),LightSpec[From]),
  _xlpm.n, LEN(_xlpm.txt),
  _xlpm.pos, MATCH(FALSE, ISNUMBER(MID(_xlpm.txt, ROW(INDIRECT("2:" &amp; _xlpm.n)), 1)*1), 0),
  LEFT(_xlpm.txt, _xlpm.pos)
)</f>
        <v>D7</v>
      </c>
      <c r="G313">
        <f>_xlfn.XLOOKUP(Table2[[#This Row],[Trigger]],SwitchButtons[switch],SwitchButtons[input])+Table2[[#This Row],[start]]</f>
        <v>3</v>
      </c>
      <c r="H313" t="s">
        <v>560</v>
      </c>
      <c r="I313" t="str">
        <f>_xlfn.XLOOKUP(Table2[[#This Row],[set1]],circuitoutputs[circuit],circuitoutputs[device])</f>
        <v>D8</v>
      </c>
      <c r="J313">
        <f>_xlfn.XLOOKUP(Table2[[#This Row],[set1]],circuitoutputs[circuit],circuitoutputs[output])</f>
        <v>1</v>
      </c>
      <c r="K313" t="s">
        <v>495</v>
      </c>
    </row>
    <row r="314" spans="1:11" hidden="1" x14ac:dyDescent="0.25">
      <c r="A314" t="s">
        <v>125</v>
      </c>
      <c r="B314" t="s">
        <v>192</v>
      </c>
      <c r="C314" cm="1">
        <f t="array" ref="C314">_xlfn.XLOOKUP(1,(LightSpec[Location]=Table2[[#This Row],[lookup Room]]) * (LightSpec[DiagNo]=Table2[[#This Row],[lookup Device]]), LightSpec[startinput])</f>
        <v>0</v>
      </c>
      <c r="D314" t="s">
        <v>448</v>
      </c>
      <c r="E314" t="s">
        <v>500</v>
      </c>
      <c r="F314" t="str" cm="1">
        <f t="array" aca="1" ref="F314" ca="1">_xlfn.LET(
  _xlpm.txt, _xlfn.XLOOKUP(1,(LightSpec[Location]=Table2[[#This Row],[lookup Room]]) * (LightSpec[DiagNo]=Table2[[#This Row],[lookup Device]]),LightSpec[From]),
  _xlpm.n, LEN(_xlpm.txt),
  _xlpm.pos, MATCH(FALSE, ISNUMBER(MID(_xlpm.txt, ROW(INDIRECT("2:" &amp; _xlpm.n)), 1)*1), 0),
  LEFT(_xlpm.txt, _xlpm.pos)
)</f>
        <v>D7</v>
      </c>
      <c r="G314">
        <f>_xlfn.XLOOKUP(Table2[[#This Row],[Trigger]],SwitchButtons[switch],SwitchButtons[input])+Table2[[#This Row],[start]]</f>
        <v>3</v>
      </c>
      <c r="H314" t="s">
        <v>513</v>
      </c>
      <c r="I314" t="str">
        <f>_xlfn.XLOOKUP(Table2[[#This Row],[set1]],circuitoutputs[circuit],circuitoutputs[device])</f>
        <v>P4</v>
      </c>
      <c r="J314">
        <f>_xlfn.XLOOKUP(Table2[[#This Row],[set1]],circuitoutputs[circuit],circuitoutputs[output])</f>
        <v>0</v>
      </c>
      <c r="K314" t="s">
        <v>495</v>
      </c>
    </row>
    <row r="315" spans="1:11" hidden="1" x14ac:dyDescent="0.25">
      <c r="A315" t="s">
        <v>125</v>
      </c>
      <c r="B315" t="s">
        <v>192</v>
      </c>
      <c r="C315" cm="1">
        <f t="array" ref="C315">_xlfn.XLOOKUP(1,(LightSpec[Location]=Table2[[#This Row],[lookup Room]]) * (LightSpec[DiagNo]=Table2[[#This Row],[lookup Device]]), LightSpec[startinput])</f>
        <v>0</v>
      </c>
      <c r="D315" t="s">
        <v>448</v>
      </c>
      <c r="E315" t="s">
        <v>500</v>
      </c>
      <c r="F315" t="str" cm="1">
        <f t="array" aca="1" ref="F315" ca="1">_xlfn.LET(
  _xlpm.txt, _xlfn.XLOOKUP(1,(LightSpec[Location]=Table2[[#This Row],[lookup Room]]) * (LightSpec[DiagNo]=Table2[[#This Row],[lookup Device]]),LightSpec[From]),
  _xlpm.n, LEN(_xlpm.txt),
  _xlpm.pos, MATCH(FALSE, ISNUMBER(MID(_xlpm.txt, ROW(INDIRECT("2:" &amp; _xlpm.n)), 1)*1), 0),
  LEFT(_xlpm.txt, _xlpm.pos)
)</f>
        <v>D7</v>
      </c>
      <c r="G315">
        <f>_xlfn.XLOOKUP(Table2[[#This Row],[Trigger]],SwitchButtons[switch],SwitchButtons[input])+Table2[[#This Row],[start]]</f>
        <v>3</v>
      </c>
      <c r="H315" t="s">
        <v>561</v>
      </c>
      <c r="I315" t="str">
        <f>_xlfn.XLOOKUP(Table2[[#This Row],[set1]],circuitoutputs[circuit],circuitoutputs[device])</f>
        <v>D9</v>
      </c>
      <c r="J315">
        <f>_xlfn.XLOOKUP(Table2[[#This Row],[set1]],circuitoutputs[circuit],circuitoutputs[output])</f>
        <v>1</v>
      </c>
      <c r="K315" t="s">
        <v>495</v>
      </c>
    </row>
    <row r="316" spans="1:11" hidden="1" x14ac:dyDescent="0.25">
      <c r="A316" t="s">
        <v>125</v>
      </c>
      <c r="B316" t="s">
        <v>192</v>
      </c>
      <c r="C316" cm="1">
        <f t="array" ref="C316">_xlfn.XLOOKUP(1,(LightSpec[Location]=Table2[[#This Row],[lookup Room]]) * (LightSpec[DiagNo]=Table2[[#This Row],[lookup Device]]), LightSpec[startinput])</f>
        <v>0</v>
      </c>
      <c r="D316" t="s">
        <v>448</v>
      </c>
      <c r="E316" t="s">
        <v>500</v>
      </c>
      <c r="F316" t="str" cm="1">
        <f t="array" aca="1" ref="F316" ca="1">_xlfn.LET(
  _xlpm.txt, _xlfn.XLOOKUP(1,(LightSpec[Location]=Table2[[#This Row],[lookup Room]]) * (LightSpec[DiagNo]=Table2[[#This Row],[lookup Device]]),LightSpec[From]),
  _xlpm.n, LEN(_xlpm.txt),
  _xlpm.pos, MATCH(FALSE, ISNUMBER(MID(_xlpm.txt, ROW(INDIRECT("2:" &amp; _xlpm.n)), 1)*1), 0),
  LEFT(_xlpm.txt, _xlpm.pos)
)</f>
        <v>D7</v>
      </c>
      <c r="G316">
        <f>_xlfn.XLOOKUP(Table2[[#This Row],[Trigger]],SwitchButtons[switch],SwitchButtons[input])+Table2[[#This Row],[start]]</f>
        <v>3</v>
      </c>
      <c r="H316" t="s">
        <v>525</v>
      </c>
      <c r="I316" t="str">
        <f>_xlfn.XLOOKUP(Table2[[#This Row],[set1]],circuitoutputs[circuit],circuitoutputs[device])</f>
        <v>D10</v>
      </c>
      <c r="J316">
        <f>_xlfn.XLOOKUP(Table2[[#This Row],[set1]],circuitoutputs[circuit],circuitoutputs[output])</f>
        <v>0</v>
      </c>
      <c r="K316" t="s">
        <v>495</v>
      </c>
    </row>
    <row r="317" spans="1:11" hidden="1" x14ac:dyDescent="0.25">
      <c r="A317" t="s">
        <v>125</v>
      </c>
      <c r="B317" t="s">
        <v>192</v>
      </c>
      <c r="C317" cm="1">
        <f t="array" ref="C317">_xlfn.XLOOKUP(1,(LightSpec[Location]=Table2[[#This Row],[lookup Room]]) * (LightSpec[DiagNo]=Table2[[#This Row],[lookup Device]]), LightSpec[startinput])</f>
        <v>0</v>
      </c>
      <c r="D317" t="s">
        <v>448</v>
      </c>
      <c r="E317" t="s">
        <v>503</v>
      </c>
      <c r="F317" t="str" cm="1">
        <f t="array" aca="1" ref="F317" ca="1">_xlfn.LET(
  _xlpm.txt, _xlfn.XLOOKUP(1,(LightSpec[Location]=Table2[[#This Row],[lookup Room]]) * (LightSpec[DiagNo]=Table2[[#This Row],[lookup Device]]),LightSpec[From]),
  _xlpm.n, LEN(_xlpm.txt),
  _xlpm.pos, MATCH(FALSE, ISNUMBER(MID(_xlpm.txt, ROW(INDIRECT("2:" &amp; _xlpm.n)), 1)*1), 0),
  LEFT(_xlpm.txt, _xlpm.pos)
)</f>
        <v>D7</v>
      </c>
      <c r="G317">
        <f>_xlfn.XLOOKUP(Table2[[#This Row],[Trigger]],SwitchButtons[switch],SwitchButtons[input])+Table2[[#This Row],[start]]</f>
        <v>3</v>
      </c>
      <c r="H317" t="s">
        <v>520</v>
      </c>
      <c r="I317" t="str">
        <f>_xlfn.XLOOKUP(Table2[[#This Row],[set1]],circuitoutputs[circuit],circuitoutputs[device])</f>
        <v>D5</v>
      </c>
      <c r="J317">
        <f>_xlfn.XLOOKUP(Table2[[#This Row],[set1]],circuitoutputs[circuit],circuitoutputs[output])</f>
        <v>0</v>
      </c>
      <c r="K317" t="s">
        <v>495</v>
      </c>
    </row>
    <row r="318" spans="1:11" hidden="1" x14ac:dyDescent="0.25">
      <c r="A318" t="s">
        <v>125</v>
      </c>
      <c r="B318" t="s">
        <v>192</v>
      </c>
      <c r="C318" cm="1">
        <f t="array" ref="C318">_xlfn.XLOOKUP(1,(LightSpec[Location]=Table2[[#This Row],[lookup Room]]) * (LightSpec[DiagNo]=Table2[[#This Row],[lookup Device]]), LightSpec[startinput])</f>
        <v>0</v>
      </c>
      <c r="D318" t="s">
        <v>448</v>
      </c>
      <c r="E318" t="s">
        <v>503</v>
      </c>
      <c r="F318" t="str" cm="1">
        <f t="array" aca="1" ref="F318" ca="1">_xlfn.LET(
  _xlpm.txt, _xlfn.XLOOKUP(1,(LightSpec[Location]=Table2[[#This Row],[lookup Room]]) * (LightSpec[DiagNo]=Table2[[#This Row],[lookup Device]]),LightSpec[From]),
  _xlpm.n, LEN(_xlpm.txt),
  _xlpm.pos, MATCH(FALSE, ISNUMBER(MID(_xlpm.txt, ROW(INDIRECT("2:" &amp; _xlpm.n)), 1)*1), 0),
  LEFT(_xlpm.txt, _xlpm.pos)
)</f>
        <v>D7</v>
      </c>
      <c r="G318">
        <f>_xlfn.XLOOKUP(Table2[[#This Row],[Trigger]],SwitchButtons[switch],SwitchButtons[input])+Table2[[#This Row],[start]]</f>
        <v>3</v>
      </c>
      <c r="H318" t="s">
        <v>557</v>
      </c>
      <c r="I318" t="str">
        <f>_xlfn.XLOOKUP(Table2[[#This Row],[set1]],circuitoutputs[circuit],circuitoutputs[device])</f>
        <v>D5</v>
      </c>
      <c r="J318">
        <f>_xlfn.XLOOKUP(Table2[[#This Row],[set1]],circuitoutputs[circuit],circuitoutputs[output])</f>
        <v>1</v>
      </c>
      <c r="K318" t="s">
        <v>495</v>
      </c>
    </row>
    <row r="319" spans="1:11" hidden="1" x14ac:dyDescent="0.25">
      <c r="A319" t="s">
        <v>125</v>
      </c>
      <c r="B319" t="s">
        <v>192</v>
      </c>
      <c r="C319" cm="1">
        <f t="array" ref="C319">_xlfn.XLOOKUP(1,(LightSpec[Location]=Table2[[#This Row],[lookup Room]]) * (LightSpec[DiagNo]=Table2[[#This Row],[lookup Device]]), LightSpec[startinput])</f>
        <v>0</v>
      </c>
      <c r="D319" t="s">
        <v>448</v>
      </c>
      <c r="E319" t="s">
        <v>503</v>
      </c>
      <c r="F319" t="str" cm="1">
        <f t="array" aca="1" ref="F319" ca="1">_xlfn.LET(
  _xlpm.txt, _xlfn.XLOOKUP(1,(LightSpec[Location]=Table2[[#This Row],[lookup Room]]) * (LightSpec[DiagNo]=Table2[[#This Row],[lookup Device]]),LightSpec[From]),
  _xlpm.n, LEN(_xlpm.txt),
  _xlpm.pos, MATCH(FALSE, ISNUMBER(MID(_xlpm.txt, ROW(INDIRECT("2:" &amp; _xlpm.n)), 1)*1), 0),
  LEFT(_xlpm.txt, _xlpm.pos)
)</f>
        <v>D7</v>
      </c>
      <c r="G319">
        <f>_xlfn.XLOOKUP(Table2[[#This Row],[Trigger]],SwitchButtons[switch],SwitchButtons[input])+Table2[[#This Row],[start]]</f>
        <v>3</v>
      </c>
      <c r="H319" t="s">
        <v>522</v>
      </c>
      <c r="I319" t="str">
        <f>_xlfn.XLOOKUP(Table2[[#This Row],[set1]],circuitoutputs[circuit],circuitoutputs[device])</f>
        <v>D7</v>
      </c>
      <c r="J319">
        <f>_xlfn.XLOOKUP(Table2[[#This Row],[set1]],circuitoutputs[circuit],circuitoutputs[output])</f>
        <v>0</v>
      </c>
      <c r="K319" t="s">
        <v>495</v>
      </c>
    </row>
    <row r="320" spans="1:11" hidden="1" x14ac:dyDescent="0.25">
      <c r="A320" t="s">
        <v>125</v>
      </c>
      <c r="B320" t="s">
        <v>192</v>
      </c>
      <c r="C320" cm="1">
        <f t="array" ref="C320">_xlfn.XLOOKUP(1,(LightSpec[Location]=Table2[[#This Row],[lookup Room]]) * (LightSpec[DiagNo]=Table2[[#This Row],[lookup Device]]), LightSpec[startinput])</f>
        <v>0</v>
      </c>
      <c r="D320" t="s">
        <v>448</v>
      </c>
      <c r="E320" t="s">
        <v>503</v>
      </c>
      <c r="F320" t="str" cm="1">
        <f t="array" aca="1" ref="F320" ca="1">_xlfn.LET(
  _xlpm.txt, _xlfn.XLOOKUP(1,(LightSpec[Location]=Table2[[#This Row],[lookup Room]]) * (LightSpec[DiagNo]=Table2[[#This Row],[lookup Device]]),LightSpec[From]),
  _xlpm.n, LEN(_xlpm.txt),
  _xlpm.pos, MATCH(FALSE, ISNUMBER(MID(_xlpm.txt, ROW(INDIRECT("2:" &amp; _xlpm.n)), 1)*1), 0),
  LEFT(_xlpm.txt, _xlpm.pos)
)</f>
        <v>D7</v>
      </c>
      <c r="G320">
        <f>_xlfn.XLOOKUP(Table2[[#This Row],[Trigger]],SwitchButtons[switch],SwitchButtons[input])+Table2[[#This Row],[start]]</f>
        <v>3</v>
      </c>
      <c r="H320" t="s">
        <v>559</v>
      </c>
      <c r="I320" t="str">
        <f>_xlfn.XLOOKUP(Table2[[#This Row],[set1]],circuitoutputs[circuit],circuitoutputs[device])</f>
        <v>D7</v>
      </c>
      <c r="J320">
        <f>_xlfn.XLOOKUP(Table2[[#This Row],[set1]],circuitoutputs[circuit],circuitoutputs[output])</f>
        <v>1</v>
      </c>
      <c r="K320" t="s">
        <v>495</v>
      </c>
    </row>
    <row r="321" spans="1:11" hidden="1" x14ac:dyDescent="0.25">
      <c r="A321" t="s">
        <v>125</v>
      </c>
      <c r="B321" t="s">
        <v>192</v>
      </c>
      <c r="C321" cm="1">
        <f t="array" ref="C321">_xlfn.XLOOKUP(1,(LightSpec[Location]=Table2[[#This Row],[lookup Room]]) * (LightSpec[DiagNo]=Table2[[#This Row],[lookup Device]]), LightSpec[startinput])</f>
        <v>0</v>
      </c>
      <c r="D321" t="s">
        <v>448</v>
      </c>
      <c r="E321" t="s">
        <v>503</v>
      </c>
      <c r="F321" t="str" cm="1">
        <f t="array" aca="1" ref="F321" ca="1">_xlfn.LET(
  _xlpm.txt, _xlfn.XLOOKUP(1,(LightSpec[Location]=Table2[[#This Row],[lookup Room]]) * (LightSpec[DiagNo]=Table2[[#This Row],[lookup Device]]),LightSpec[From]),
  _xlpm.n, LEN(_xlpm.txt),
  _xlpm.pos, MATCH(FALSE, ISNUMBER(MID(_xlpm.txt, ROW(INDIRECT("2:" &amp; _xlpm.n)), 1)*1), 0),
  LEFT(_xlpm.txt, _xlpm.pos)
)</f>
        <v>D7</v>
      </c>
      <c r="G321">
        <f>_xlfn.XLOOKUP(Table2[[#This Row],[Trigger]],SwitchButtons[switch],SwitchButtons[input])+Table2[[#This Row],[start]]</f>
        <v>3</v>
      </c>
      <c r="H321" t="s">
        <v>523</v>
      </c>
      <c r="I321" t="str">
        <f>_xlfn.XLOOKUP(Table2[[#This Row],[set1]],circuitoutputs[circuit],circuitoutputs[device])</f>
        <v>D8</v>
      </c>
      <c r="J321">
        <f>_xlfn.XLOOKUP(Table2[[#This Row],[set1]],circuitoutputs[circuit],circuitoutputs[output])</f>
        <v>0</v>
      </c>
      <c r="K321" t="s">
        <v>495</v>
      </c>
    </row>
    <row r="322" spans="1:11" hidden="1" x14ac:dyDescent="0.25">
      <c r="A322" t="s">
        <v>125</v>
      </c>
      <c r="B322" t="s">
        <v>192</v>
      </c>
      <c r="C322" cm="1">
        <f t="array" ref="C322">_xlfn.XLOOKUP(1,(LightSpec[Location]=Table2[[#This Row],[lookup Room]]) * (LightSpec[DiagNo]=Table2[[#This Row],[lookup Device]]), LightSpec[startinput])</f>
        <v>0</v>
      </c>
      <c r="D322" t="s">
        <v>448</v>
      </c>
      <c r="E322" t="s">
        <v>503</v>
      </c>
      <c r="F322" t="str" cm="1">
        <f t="array" aca="1" ref="F322" ca="1">_xlfn.LET(
  _xlpm.txt, _xlfn.XLOOKUP(1,(LightSpec[Location]=Table2[[#This Row],[lookup Room]]) * (LightSpec[DiagNo]=Table2[[#This Row],[lookup Device]]),LightSpec[From]),
  _xlpm.n, LEN(_xlpm.txt),
  _xlpm.pos, MATCH(FALSE, ISNUMBER(MID(_xlpm.txt, ROW(INDIRECT("2:" &amp; _xlpm.n)), 1)*1), 0),
  LEFT(_xlpm.txt, _xlpm.pos)
)</f>
        <v>D7</v>
      </c>
      <c r="G322">
        <f>_xlfn.XLOOKUP(Table2[[#This Row],[Trigger]],SwitchButtons[switch],SwitchButtons[input])+Table2[[#This Row],[start]]</f>
        <v>3</v>
      </c>
      <c r="H322" t="s">
        <v>560</v>
      </c>
      <c r="I322" t="str">
        <f>_xlfn.XLOOKUP(Table2[[#This Row],[set1]],circuitoutputs[circuit],circuitoutputs[device])</f>
        <v>D8</v>
      </c>
      <c r="J322">
        <f>_xlfn.XLOOKUP(Table2[[#This Row],[set1]],circuitoutputs[circuit],circuitoutputs[output])</f>
        <v>1</v>
      </c>
      <c r="K322" t="s">
        <v>495</v>
      </c>
    </row>
    <row r="323" spans="1:11" hidden="1" x14ac:dyDescent="0.25">
      <c r="A323" t="s">
        <v>125</v>
      </c>
      <c r="B323" t="s">
        <v>192</v>
      </c>
      <c r="C323" cm="1">
        <f t="array" ref="C323">_xlfn.XLOOKUP(1,(LightSpec[Location]=Table2[[#This Row],[lookup Room]]) * (LightSpec[DiagNo]=Table2[[#This Row],[lookup Device]]), LightSpec[startinput])</f>
        <v>0</v>
      </c>
      <c r="D323" t="s">
        <v>448</v>
      </c>
      <c r="E323" t="s">
        <v>503</v>
      </c>
      <c r="F323" t="str" cm="1">
        <f t="array" aca="1" ref="F323" ca="1">_xlfn.LET(
  _xlpm.txt, _xlfn.XLOOKUP(1,(LightSpec[Location]=Table2[[#This Row],[lookup Room]]) * (LightSpec[DiagNo]=Table2[[#This Row],[lookup Device]]),LightSpec[From]),
  _xlpm.n, LEN(_xlpm.txt),
  _xlpm.pos, MATCH(FALSE, ISNUMBER(MID(_xlpm.txt, ROW(INDIRECT("2:" &amp; _xlpm.n)), 1)*1), 0),
  LEFT(_xlpm.txt, _xlpm.pos)
)</f>
        <v>D7</v>
      </c>
      <c r="G323">
        <f>_xlfn.XLOOKUP(Table2[[#This Row],[Trigger]],SwitchButtons[switch],SwitchButtons[input])+Table2[[#This Row],[start]]</f>
        <v>3</v>
      </c>
      <c r="H323" t="s">
        <v>524</v>
      </c>
      <c r="I323" t="str">
        <f>_xlfn.XLOOKUP(Table2[[#This Row],[set1]],circuitoutputs[circuit],circuitoutputs[device])</f>
        <v>D9</v>
      </c>
      <c r="J323">
        <f>_xlfn.XLOOKUP(Table2[[#This Row],[set1]],circuitoutputs[circuit],circuitoutputs[output])</f>
        <v>0</v>
      </c>
      <c r="K323" t="s">
        <v>495</v>
      </c>
    </row>
    <row r="324" spans="1:11" hidden="1" x14ac:dyDescent="0.25">
      <c r="A324" t="s">
        <v>125</v>
      </c>
      <c r="B324" t="s">
        <v>192</v>
      </c>
      <c r="C324" cm="1">
        <f t="array" ref="C324">_xlfn.XLOOKUP(1,(LightSpec[Location]=Table2[[#This Row],[lookup Room]]) * (LightSpec[DiagNo]=Table2[[#This Row],[lookup Device]]), LightSpec[startinput])</f>
        <v>0</v>
      </c>
      <c r="D324" t="s">
        <v>448</v>
      </c>
      <c r="E324" t="s">
        <v>503</v>
      </c>
      <c r="F324" t="str" cm="1">
        <f t="array" aca="1" ref="F324" ca="1">_xlfn.LET(
  _xlpm.txt, _xlfn.XLOOKUP(1,(LightSpec[Location]=Table2[[#This Row],[lookup Room]]) * (LightSpec[DiagNo]=Table2[[#This Row],[lookup Device]]),LightSpec[From]),
  _xlpm.n, LEN(_xlpm.txt),
  _xlpm.pos, MATCH(FALSE, ISNUMBER(MID(_xlpm.txt, ROW(INDIRECT("2:" &amp; _xlpm.n)), 1)*1), 0),
  LEFT(_xlpm.txt, _xlpm.pos)
)</f>
        <v>D7</v>
      </c>
      <c r="G324">
        <f>_xlfn.XLOOKUP(Table2[[#This Row],[Trigger]],SwitchButtons[switch],SwitchButtons[input])+Table2[[#This Row],[start]]</f>
        <v>3</v>
      </c>
      <c r="H324" t="s">
        <v>513</v>
      </c>
      <c r="I324" t="str">
        <f>_xlfn.XLOOKUP(Table2[[#This Row],[set1]],circuitoutputs[circuit],circuitoutputs[device])</f>
        <v>P4</v>
      </c>
      <c r="J324">
        <f>_xlfn.XLOOKUP(Table2[[#This Row],[set1]],circuitoutputs[circuit],circuitoutputs[output])</f>
        <v>0</v>
      </c>
      <c r="K324" t="s">
        <v>495</v>
      </c>
    </row>
    <row r="325" spans="1:11" hidden="1" x14ac:dyDescent="0.25">
      <c r="A325" t="s">
        <v>125</v>
      </c>
      <c r="B325" t="s">
        <v>192</v>
      </c>
      <c r="C325" cm="1">
        <f t="array" ref="C325">_xlfn.XLOOKUP(1,(LightSpec[Location]=Table2[[#This Row],[lookup Room]]) * (LightSpec[DiagNo]=Table2[[#This Row],[lookup Device]]), LightSpec[startinput])</f>
        <v>0</v>
      </c>
      <c r="D325" t="s">
        <v>448</v>
      </c>
      <c r="E325" t="s">
        <v>503</v>
      </c>
      <c r="F325" t="str" cm="1">
        <f t="array" aca="1" ref="F325" ca="1">_xlfn.LET(
  _xlpm.txt, _xlfn.XLOOKUP(1,(LightSpec[Location]=Table2[[#This Row],[lookup Room]]) * (LightSpec[DiagNo]=Table2[[#This Row],[lookup Device]]),LightSpec[From]),
  _xlpm.n, LEN(_xlpm.txt),
  _xlpm.pos, MATCH(FALSE, ISNUMBER(MID(_xlpm.txt, ROW(INDIRECT("2:" &amp; _xlpm.n)), 1)*1), 0),
  LEFT(_xlpm.txt, _xlpm.pos)
)</f>
        <v>D7</v>
      </c>
      <c r="G325">
        <f>_xlfn.XLOOKUP(Table2[[#This Row],[Trigger]],SwitchButtons[switch],SwitchButtons[input])+Table2[[#This Row],[start]]</f>
        <v>3</v>
      </c>
      <c r="H325" t="s">
        <v>561</v>
      </c>
      <c r="I325" t="str">
        <f>_xlfn.XLOOKUP(Table2[[#This Row],[set1]],circuitoutputs[circuit],circuitoutputs[device])</f>
        <v>D9</v>
      </c>
      <c r="J325">
        <f>_xlfn.XLOOKUP(Table2[[#This Row],[set1]],circuitoutputs[circuit],circuitoutputs[output])</f>
        <v>1</v>
      </c>
      <c r="K325" t="s">
        <v>495</v>
      </c>
    </row>
    <row r="326" spans="1:11" hidden="1" x14ac:dyDescent="0.25">
      <c r="A326" t="s">
        <v>125</v>
      </c>
      <c r="B326" t="s">
        <v>192</v>
      </c>
      <c r="C326" cm="1">
        <f t="array" ref="C326">_xlfn.XLOOKUP(1,(LightSpec[Location]=Table2[[#This Row],[lookup Room]]) * (LightSpec[DiagNo]=Table2[[#This Row],[lookup Device]]), LightSpec[startinput])</f>
        <v>0</v>
      </c>
      <c r="D326" t="s">
        <v>448</v>
      </c>
      <c r="E326" t="s">
        <v>503</v>
      </c>
      <c r="F326" t="str" cm="1">
        <f t="array" aca="1" ref="F326" ca="1">_xlfn.LET(
  _xlpm.txt, _xlfn.XLOOKUP(1,(LightSpec[Location]=Table2[[#This Row],[lookup Room]]) * (LightSpec[DiagNo]=Table2[[#This Row],[lookup Device]]),LightSpec[From]),
  _xlpm.n, LEN(_xlpm.txt),
  _xlpm.pos, MATCH(FALSE, ISNUMBER(MID(_xlpm.txt, ROW(INDIRECT("2:" &amp; _xlpm.n)), 1)*1), 0),
  LEFT(_xlpm.txt, _xlpm.pos)
)</f>
        <v>D7</v>
      </c>
      <c r="G326">
        <f>_xlfn.XLOOKUP(Table2[[#This Row],[Trigger]],SwitchButtons[switch],SwitchButtons[input])+Table2[[#This Row],[start]]</f>
        <v>3</v>
      </c>
      <c r="H326" t="s">
        <v>525</v>
      </c>
      <c r="I326" t="str">
        <f>_xlfn.XLOOKUP(Table2[[#This Row],[set1]],circuitoutputs[circuit],circuitoutputs[device])</f>
        <v>D10</v>
      </c>
      <c r="J326">
        <f>_xlfn.XLOOKUP(Table2[[#This Row],[set1]],circuitoutputs[circuit],circuitoutputs[output])</f>
        <v>0</v>
      </c>
      <c r="K326" t="s">
        <v>495</v>
      </c>
    </row>
    <row r="327" spans="1:11" hidden="1" x14ac:dyDescent="0.25">
      <c r="A327" t="s">
        <v>125</v>
      </c>
      <c r="B327" t="s">
        <v>192</v>
      </c>
      <c r="C327" cm="1">
        <f t="array" ref="C327">_xlfn.XLOOKUP(1,(LightSpec[Location]=Table2[[#This Row],[lookup Room]]) * (LightSpec[DiagNo]=Table2[[#This Row],[lookup Device]]), LightSpec[startinput])</f>
        <v>0</v>
      </c>
      <c r="D327" t="s">
        <v>445</v>
      </c>
      <c r="E327" t="s">
        <v>500</v>
      </c>
      <c r="F327" t="str" cm="1">
        <f t="array" aca="1" ref="F327" ca="1">_xlfn.LET(
  _xlpm.txt, _xlfn.XLOOKUP(1,(LightSpec[Location]=Table2[[#This Row],[lookup Room]]) * (LightSpec[DiagNo]=Table2[[#This Row],[lookup Device]]),LightSpec[From]),
  _xlpm.n, LEN(_xlpm.txt),
  _xlpm.pos, MATCH(FALSE, ISNUMBER(MID(_xlpm.txt, ROW(INDIRECT("2:" &amp; _xlpm.n)), 1)*1), 0),
  LEFT(_xlpm.txt, _xlpm.pos)
)</f>
        <v>D7</v>
      </c>
      <c r="G327">
        <f>_xlfn.XLOOKUP(Table2[[#This Row],[Trigger]],SwitchButtons[switch],SwitchButtons[input])+Table2[[#This Row],[start]]</f>
        <v>0</v>
      </c>
      <c r="H327" t="s">
        <v>522</v>
      </c>
      <c r="I327" t="str">
        <f>_xlfn.XLOOKUP(Table2[[#This Row],[set1]],circuitoutputs[circuit],circuitoutputs[device])</f>
        <v>D7</v>
      </c>
      <c r="J327">
        <f>_xlfn.XLOOKUP(Table2[[#This Row],[set1]],circuitoutputs[circuit],circuitoutputs[output])</f>
        <v>0</v>
      </c>
      <c r="K327" t="s">
        <v>494</v>
      </c>
    </row>
    <row r="328" spans="1:11" hidden="1" x14ac:dyDescent="0.25">
      <c r="A328" t="s">
        <v>125</v>
      </c>
      <c r="B328" t="s">
        <v>192</v>
      </c>
      <c r="C328" cm="1">
        <f t="array" ref="C328">_xlfn.XLOOKUP(1,(LightSpec[Location]=Table2[[#This Row],[lookup Room]]) * (LightSpec[DiagNo]=Table2[[#This Row],[lookup Device]]), LightSpec[startinput])</f>
        <v>0</v>
      </c>
      <c r="D328" t="s">
        <v>445</v>
      </c>
      <c r="E328" t="s">
        <v>500</v>
      </c>
      <c r="F328" t="str" cm="1">
        <f t="array" aca="1" ref="F328" ca="1">_xlfn.LET(
  _xlpm.txt, _xlfn.XLOOKUP(1,(LightSpec[Location]=Table2[[#This Row],[lookup Room]]) * (LightSpec[DiagNo]=Table2[[#This Row],[lookup Device]]),LightSpec[From]),
  _xlpm.n, LEN(_xlpm.txt),
  _xlpm.pos, MATCH(FALSE, ISNUMBER(MID(_xlpm.txt, ROW(INDIRECT("2:" &amp; _xlpm.n)), 1)*1), 0),
  LEFT(_xlpm.txt, _xlpm.pos)
)</f>
        <v>D7</v>
      </c>
      <c r="G328">
        <f>_xlfn.XLOOKUP(Table2[[#This Row],[Trigger]],SwitchButtons[switch],SwitchButtons[input])+Table2[[#This Row],[start]]</f>
        <v>0</v>
      </c>
      <c r="H328" t="s">
        <v>559</v>
      </c>
      <c r="I328" t="str">
        <f>_xlfn.XLOOKUP(Table2[[#This Row],[set1]],circuitoutputs[circuit],circuitoutputs[device])</f>
        <v>D7</v>
      </c>
      <c r="J328">
        <f>_xlfn.XLOOKUP(Table2[[#This Row],[set1]],circuitoutputs[circuit],circuitoutputs[output])</f>
        <v>1</v>
      </c>
      <c r="K328" t="s">
        <v>494</v>
      </c>
    </row>
    <row r="329" spans="1:11" hidden="1" x14ac:dyDescent="0.25">
      <c r="A329" t="s">
        <v>125</v>
      </c>
      <c r="B329" t="s">
        <v>192</v>
      </c>
      <c r="C329" cm="1">
        <f t="array" ref="C329">_xlfn.XLOOKUP(1,(LightSpec[Location]=Table2[[#This Row],[lookup Room]]) * (LightSpec[DiagNo]=Table2[[#This Row],[lookup Device]]), LightSpec[startinput])</f>
        <v>0</v>
      </c>
      <c r="D329" t="s">
        <v>445</v>
      </c>
      <c r="E329" t="s">
        <v>500</v>
      </c>
      <c r="F329" t="str" cm="1">
        <f t="array" aca="1" ref="F329" ca="1">_xlfn.LET(
  _xlpm.txt, _xlfn.XLOOKUP(1,(LightSpec[Location]=Table2[[#This Row],[lookup Room]]) * (LightSpec[DiagNo]=Table2[[#This Row],[lookup Device]]),LightSpec[From]),
  _xlpm.n, LEN(_xlpm.txt),
  _xlpm.pos, MATCH(FALSE, ISNUMBER(MID(_xlpm.txt, ROW(INDIRECT("2:" &amp; _xlpm.n)), 1)*1), 0),
  LEFT(_xlpm.txt, _xlpm.pos)
)</f>
        <v>D7</v>
      </c>
      <c r="G329">
        <f>_xlfn.XLOOKUP(Table2[[#This Row],[Trigger]],SwitchButtons[switch],SwitchButtons[input])+Table2[[#This Row],[start]]</f>
        <v>0</v>
      </c>
      <c r="H329" t="s">
        <v>523</v>
      </c>
      <c r="I329" t="str">
        <f>_xlfn.XLOOKUP(Table2[[#This Row],[set1]],circuitoutputs[circuit],circuitoutputs[device])</f>
        <v>D8</v>
      </c>
      <c r="J329">
        <f>_xlfn.XLOOKUP(Table2[[#This Row],[set1]],circuitoutputs[circuit],circuitoutputs[output])</f>
        <v>0</v>
      </c>
      <c r="K329" t="s">
        <v>494</v>
      </c>
    </row>
    <row r="330" spans="1:11" hidden="1" x14ac:dyDescent="0.25">
      <c r="A330" t="s">
        <v>125</v>
      </c>
      <c r="B330" t="s">
        <v>192</v>
      </c>
      <c r="C330" cm="1">
        <f t="array" ref="C330">_xlfn.XLOOKUP(1,(LightSpec[Location]=Table2[[#This Row],[lookup Room]]) * (LightSpec[DiagNo]=Table2[[#This Row],[lookup Device]]), LightSpec[startinput])</f>
        <v>0</v>
      </c>
      <c r="D330" t="s">
        <v>445</v>
      </c>
      <c r="E330" t="s">
        <v>500</v>
      </c>
      <c r="F330" t="str" cm="1">
        <f t="array" aca="1" ref="F330" ca="1">_xlfn.LET(
  _xlpm.txt, _xlfn.XLOOKUP(1,(LightSpec[Location]=Table2[[#This Row],[lookup Room]]) * (LightSpec[DiagNo]=Table2[[#This Row],[lookup Device]]),LightSpec[From]),
  _xlpm.n, LEN(_xlpm.txt),
  _xlpm.pos, MATCH(FALSE, ISNUMBER(MID(_xlpm.txt, ROW(INDIRECT("2:" &amp; _xlpm.n)), 1)*1), 0),
  LEFT(_xlpm.txt, _xlpm.pos)
)</f>
        <v>D7</v>
      </c>
      <c r="G330">
        <f>_xlfn.XLOOKUP(Table2[[#This Row],[Trigger]],SwitchButtons[switch],SwitchButtons[input])+Table2[[#This Row],[start]]</f>
        <v>0</v>
      </c>
      <c r="H330" t="s">
        <v>560</v>
      </c>
      <c r="I330" t="str">
        <f>_xlfn.XLOOKUP(Table2[[#This Row],[set1]],circuitoutputs[circuit],circuitoutputs[device])</f>
        <v>D8</v>
      </c>
      <c r="J330">
        <f>_xlfn.XLOOKUP(Table2[[#This Row],[set1]],circuitoutputs[circuit],circuitoutputs[output])</f>
        <v>1</v>
      </c>
      <c r="K330" t="s">
        <v>494</v>
      </c>
    </row>
    <row r="331" spans="1:11" hidden="1" x14ac:dyDescent="0.25">
      <c r="A331" t="s">
        <v>125</v>
      </c>
      <c r="B331" t="s">
        <v>192</v>
      </c>
      <c r="C331" cm="1">
        <f t="array" ref="C331">_xlfn.XLOOKUP(1,(LightSpec[Location]=Table2[[#This Row],[lookup Room]]) * (LightSpec[DiagNo]=Table2[[#This Row],[lookup Device]]), LightSpec[startinput])</f>
        <v>0</v>
      </c>
      <c r="D331" t="s">
        <v>445</v>
      </c>
      <c r="E331" t="s">
        <v>500</v>
      </c>
      <c r="F331" t="str" cm="1">
        <f t="array" aca="1" ref="F331" ca="1">_xlfn.LET(
  _xlpm.txt, _xlfn.XLOOKUP(1,(LightSpec[Location]=Table2[[#This Row],[lookup Room]]) * (LightSpec[DiagNo]=Table2[[#This Row],[lookup Device]]),LightSpec[From]),
  _xlpm.n, LEN(_xlpm.txt),
  _xlpm.pos, MATCH(FALSE, ISNUMBER(MID(_xlpm.txt, ROW(INDIRECT("2:" &amp; _xlpm.n)), 1)*1), 0),
  LEFT(_xlpm.txt, _xlpm.pos)
)</f>
        <v>D7</v>
      </c>
      <c r="G331">
        <f>_xlfn.XLOOKUP(Table2[[#This Row],[Trigger]],SwitchButtons[switch],SwitchButtons[input])+Table2[[#This Row],[start]]</f>
        <v>0</v>
      </c>
      <c r="H331" t="s">
        <v>524</v>
      </c>
      <c r="I331" t="str">
        <f>_xlfn.XLOOKUP(Table2[[#This Row],[set1]],circuitoutputs[circuit],circuitoutputs[device])</f>
        <v>D9</v>
      </c>
      <c r="J331">
        <f>_xlfn.XLOOKUP(Table2[[#This Row],[set1]],circuitoutputs[circuit],circuitoutputs[output])</f>
        <v>0</v>
      </c>
      <c r="K331" t="s">
        <v>494</v>
      </c>
    </row>
    <row r="332" spans="1:11" hidden="1" x14ac:dyDescent="0.25">
      <c r="A332" t="s">
        <v>125</v>
      </c>
      <c r="B332" t="s">
        <v>192</v>
      </c>
      <c r="C332" cm="1">
        <f t="array" ref="C332">_xlfn.XLOOKUP(1,(LightSpec[Location]=Table2[[#This Row],[lookup Room]]) * (LightSpec[DiagNo]=Table2[[#This Row],[lookup Device]]), LightSpec[startinput])</f>
        <v>0</v>
      </c>
      <c r="D332" t="s">
        <v>445</v>
      </c>
      <c r="E332" t="s">
        <v>500</v>
      </c>
      <c r="F332" t="str" cm="1">
        <f t="array" aca="1" ref="F332" ca="1">_xlfn.LET(
  _xlpm.txt, _xlfn.XLOOKUP(1,(LightSpec[Location]=Table2[[#This Row],[lookup Room]]) * (LightSpec[DiagNo]=Table2[[#This Row],[lookup Device]]),LightSpec[From]),
  _xlpm.n, LEN(_xlpm.txt),
  _xlpm.pos, MATCH(FALSE, ISNUMBER(MID(_xlpm.txt, ROW(INDIRECT("2:" &amp; _xlpm.n)), 1)*1), 0),
  LEFT(_xlpm.txt, _xlpm.pos)
)</f>
        <v>D7</v>
      </c>
      <c r="G332">
        <f>_xlfn.XLOOKUP(Table2[[#This Row],[Trigger]],SwitchButtons[switch],SwitchButtons[input])+Table2[[#This Row],[start]]</f>
        <v>0</v>
      </c>
      <c r="H332" t="s">
        <v>513</v>
      </c>
      <c r="I332" t="str">
        <f>_xlfn.XLOOKUP(Table2[[#This Row],[set1]],circuitoutputs[circuit],circuitoutputs[device])</f>
        <v>P4</v>
      </c>
      <c r="J332">
        <f>_xlfn.XLOOKUP(Table2[[#This Row],[set1]],circuitoutputs[circuit],circuitoutputs[output])</f>
        <v>0</v>
      </c>
      <c r="K332" t="s">
        <v>494</v>
      </c>
    </row>
    <row r="333" spans="1:11" hidden="1" x14ac:dyDescent="0.25">
      <c r="A333" t="s">
        <v>125</v>
      </c>
      <c r="B333" t="s">
        <v>192</v>
      </c>
      <c r="C333" cm="1">
        <f t="array" ref="C333">_xlfn.XLOOKUP(1,(LightSpec[Location]=Table2[[#This Row],[lookup Room]]) * (LightSpec[DiagNo]=Table2[[#This Row],[lookup Device]]), LightSpec[startinput])</f>
        <v>0</v>
      </c>
      <c r="D333" t="s">
        <v>445</v>
      </c>
      <c r="E333" t="s">
        <v>500</v>
      </c>
      <c r="F333" t="str" cm="1">
        <f t="array" aca="1" ref="F333" ca="1">_xlfn.LET(
  _xlpm.txt, _xlfn.XLOOKUP(1,(LightSpec[Location]=Table2[[#This Row],[lookup Room]]) * (LightSpec[DiagNo]=Table2[[#This Row],[lookup Device]]),LightSpec[From]),
  _xlpm.n, LEN(_xlpm.txt),
  _xlpm.pos, MATCH(FALSE, ISNUMBER(MID(_xlpm.txt, ROW(INDIRECT("2:" &amp; _xlpm.n)), 1)*1), 0),
  LEFT(_xlpm.txt, _xlpm.pos)
)</f>
        <v>D7</v>
      </c>
      <c r="G333">
        <f>_xlfn.XLOOKUP(Table2[[#This Row],[Trigger]],SwitchButtons[switch],SwitchButtons[input])+Table2[[#This Row],[start]]</f>
        <v>0</v>
      </c>
      <c r="H333" t="s">
        <v>561</v>
      </c>
      <c r="I333" t="str">
        <f>_xlfn.XLOOKUP(Table2[[#This Row],[set1]],circuitoutputs[circuit],circuitoutputs[device])</f>
        <v>D9</v>
      </c>
      <c r="J333">
        <f>_xlfn.XLOOKUP(Table2[[#This Row],[set1]],circuitoutputs[circuit],circuitoutputs[output])</f>
        <v>1</v>
      </c>
      <c r="K333" t="s">
        <v>494</v>
      </c>
    </row>
    <row r="334" spans="1:11" hidden="1" x14ac:dyDescent="0.25">
      <c r="A334" t="s">
        <v>125</v>
      </c>
      <c r="B334" t="s">
        <v>192</v>
      </c>
      <c r="C334" cm="1">
        <f t="array" ref="C334">_xlfn.XLOOKUP(1,(LightSpec[Location]=Table2[[#This Row],[lookup Room]]) * (LightSpec[DiagNo]=Table2[[#This Row],[lookup Device]]), LightSpec[startinput])</f>
        <v>0</v>
      </c>
      <c r="D334" t="s">
        <v>445</v>
      </c>
      <c r="E334" t="s">
        <v>500</v>
      </c>
      <c r="F334" t="str" cm="1">
        <f t="array" aca="1" ref="F334" ca="1">_xlfn.LET(
  _xlpm.txt, _xlfn.XLOOKUP(1,(LightSpec[Location]=Table2[[#This Row],[lookup Room]]) * (LightSpec[DiagNo]=Table2[[#This Row],[lookup Device]]),LightSpec[From]),
  _xlpm.n, LEN(_xlpm.txt),
  _xlpm.pos, MATCH(FALSE, ISNUMBER(MID(_xlpm.txt, ROW(INDIRECT("2:" &amp; _xlpm.n)), 1)*1), 0),
  LEFT(_xlpm.txt, _xlpm.pos)
)</f>
        <v>D7</v>
      </c>
      <c r="G334">
        <f>_xlfn.XLOOKUP(Table2[[#This Row],[Trigger]],SwitchButtons[switch],SwitchButtons[input])+Table2[[#This Row],[start]]</f>
        <v>0</v>
      </c>
      <c r="H334" t="s">
        <v>525</v>
      </c>
      <c r="I334" t="str">
        <f>_xlfn.XLOOKUP(Table2[[#This Row],[set1]],circuitoutputs[circuit],circuitoutputs[device])</f>
        <v>D10</v>
      </c>
      <c r="J334">
        <f>_xlfn.XLOOKUP(Table2[[#This Row],[set1]],circuitoutputs[circuit],circuitoutputs[output])</f>
        <v>0</v>
      </c>
      <c r="K334" t="s">
        <v>494</v>
      </c>
    </row>
    <row r="335" spans="1:11" hidden="1" x14ac:dyDescent="0.25">
      <c r="A335" t="s">
        <v>125</v>
      </c>
      <c r="B335" t="s">
        <v>192</v>
      </c>
      <c r="C335" cm="1">
        <f t="array" ref="C335">_xlfn.XLOOKUP(1,(LightSpec[Location]=Table2[[#This Row],[lookup Room]]) * (LightSpec[DiagNo]=Table2[[#This Row],[lookup Device]]), LightSpec[startinput])</f>
        <v>0</v>
      </c>
      <c r="D335" t="s">
        <v>445</v>
      </c>
      <c r="E335" t="s">
        <v>501</v>
      </c>
      <c r="F335" t="str" cm="1">
        <f t="array" aca="1" ref="F335" ca="1">_xlfn.LET(
  _xlpm.txt, _xlfn.XLOOKUP(1,(LightSpec[Location]=Table2[[#This Row],[lookup Room]]) * (LightSpec[DiagNo]=Table2[[#This Row],[lookup Device]]),LightSpec[From]),
  _xlpm.n, LEN(_xlpm.txt),
  _xlpm.pos, MATCH(FALSE, ISNUMBER(MID(_xlpm.txt, ROW(INDIRECT("2:" &amp; _xlpm.n)), 1)*1), 0),
  LEFT(_xlpm.txt, _xlpm.pos)
)</f>
        <v>D7</v>
      </c>
      <c r="G335">
        <f>_xlfn.XLOOKUP(Table2[[#This Row],[Trigger]],SwitchButtons[switch],SwitchButtons[input])+Table2[[#This Row],[start]]</f>
        <v>0</v>
      </c>
      <c r="H335" t="s">
        <v>522</v>
      </c>
      <c r="I335" t="str">
        <f>_xlfn.XLOOKUP(Table2[[#This Row],[set1]],circuitoutputs[circuit],circuitoutputs[device])</f>
        <v>D7</v>
      </c>
      <c r="J335">
        <f>_xlfn.XLOOKUP(Table2[[#This Row],[set1]],circuitoutputs[circuit],circuitoutputs[output])</f>
        <v>0</v>
      </c>
      <c r="K335" t="s">
        <v>593</v>
      </c>
    </row>
    <row r="336" spans="1:11" hidden="1" x14ac:dyDescent="0.25">
      <c r="A336" t="s">
        <v>125</v>
      </c>
      <c r="B336" t="s">
        <v>192</v>
      </c>
      <c r="C336" cm="1">
        <f t="array" ref="C336">_xlfn.XLOOKUP(1,(LightSpec[Location]=Table2[[#This Row],[lookup Room]]) * (LightSpec[DiagNo]=Table2[[#This Row],[lookup Device]]), LightSpec[startinput])</f>
        <v>0</v>
      </c>
      <c r="D336" t="s">
        <v>445</v>
      </c>
      <c r="E336" t="s">
        <v>501</v>
      </c>
      <c r="F336" t="str" cm="1">
        <f t="array" aca="1" ref="F336" ca="1">_xlfn.LET(
  _xlpm.txt, _xlfn.XLOOKUP(1,(LightSpec[Location]=Table2[[#This Row],[lookup Room]]) * (LightSpec[DiagNo]=Table2[[#This Row],[lookup Device]]),LightSpec[From]),
  _xlpm.n, LEN(_xlpm.txt),
  _xlpm.pos, MATCH(FALSE, ISNUMBER(MID(_xlpm.txt, ROW(INDIRECT("2:" &amp; _xlpm.n)), 1)*1), 0),
  LEFT(_xlpm.txt, _xlpm.pos)
)</f>
        <v>D7</v>
      </c>
      <c r="G336">
        <f>_xlfn.XLOOKUP(Table2[[#This Row],[Trigger]],SwitchButtons[switch],SwitchButtons[input])+Table2[[#This Row],[start]]</f>
        <v>0</v>
      </c>
      <c r="H336" t="s">
        <v>559</v>
      </c>
      <c r="I336" t="str">
        <f>_xlfn.XLOOKUP(Table2[[#This Row],[set1]],circuitoutputs[circuit],circuitoutputs[device])</f>
        <v>D7</v>
      </c>
      <c r="J336">
        <f>_xlfn.XLOOKUP(Table2[[#This Row],[set1]],circuitoutputs[circuit],circuitoutputs[output])</f>
        <v>1</v>
      </c>
      <c r="K336" t="s">
        <v>593</v>
      </c>
    </row>
    <row r="337" spans="1:11" hidden="1" x14ac:dyDescent="0.25">
      <c r="A337" t="s">
        <v>125</v>
      </c>
      <c r="B337" t="s">
        <v>192</v>
      </c>
      <c r="C337" cm="1">
        <f t="array" ref="C337">_xlfn.XLOOKUP(1,(LightSpec[Location]=Table2[[#This Row],[lookup Room]]) * (LightSpec[DiagNo]=Table2[[#This Row],[lookup Device]]), LightSpec[startinput])</f>
        <v>0</v>
      </c>
      <c r="D337" t="s">
        <v>445</v>
      </c>
      <c r="E337" t="s">
        <v>501</v>
      </c>
      <c r="F337" t="str" cm="1">
        <f t="array" aca="1" ref="F337" ca="1">_xlfn.LET(
  _xlpm.txt, _xlfn.XLOOKUP(1,(LightSpec[Location]=Table2[[#This Row],[lookup Room]]) * (LightSpec[DiagNo]=Table2[[#This Row],[lookup Device]]),LightSpec[From]),
  _xlpm.n, LEN(_xlpm.txt),
  _xlpm.pos, MATCH(FALSE, ISNUMBER(MID(_xlpm.txt, ROW(INDIRECT("2:" &amp; _xlpm.n)), 1)*1), 0),
  LEFT(_xlpm.txt, _xlpm.pos)
)</f>
        <v>D7</v>
      </c>
      <c r="G337">
        <f>_xlfn.XLOOKUP(Table2[[#This Row],[Trigger]],SwitchButtons[switch],SwitchButtons[input])+Table2[[#This Row],[start]]</f>
        <v>0</v>
      </c>
      <c r="H337" t="s">
        <v>523</v>
      </c>
      <c r="I337" t="str">
        <f>_xlfn.XLOOKUP(Table2[[#This Row],[set1]],circuitoutputs[circuit],circuitoutputs[device])</f>
        <v>D8</v>
      </c>
      <c r="J337">
        <f>_xlfn.XLOOKUP(Table2[[#This Row],[set1]],circuitoutputs[circuit],circuitoutputs[output])</f>
        <v>0</v>
      </c>
      <c r="K337" t="s">
        <v>495</v>
      </c>
    </row>
    <row r="338" spans="1:11" hidden="1" x14ac:dyDescent="0.25">
      <c r="A338" t="s">
        <v>125</v>
      </c>
      <c r="B338" t="s">
        <v>192</v>
      </c>
      <c r="C338" cm="1">
        <f t="array" ref="C338">_xlfn.XLOOKUP(1,(LightSpec[Location]=Table2[[#This Row],[lookup Room]]) * (LightSpec[DiagNo]=Table2[[#This Row],[lookup Device]]), LightSpec[startinput])</f>
        <v>0</v>
      </c>
      <c r="D338" t="s">
        <v>445</v>
      </c>
      <c r="E338" t="s">
        <v>501</v>
      </c>
      <c r="F338" t="str" cm="1">
        <f t="array" aca="1" ref="F338" ca="1">_xlfn.LET(
  _xlpm.txt, _xlfn.XLOOKUP(1,(LightSpec[Location]=Table2[[#This Row],[lookup Room]]) * (LightSpec[DiagNo]=Table2[[#This Row],[lookup Device]]),LightSpec[From]),
  _xlpm.n, LEN(_xlpm.txt),
  _xlpm.pos, MATCH(FALSE, ISNUMBER(MID(_xlpm.txt, ROW(INDIRECT("2:" &amp; _xlpm.n)), 1)*1), 0),
  LEFT(_xlpm.txt, _xlpm.pos)
)</f>
        <v>D7</v>
      </c>
      <c r="G338">
        <f>_xlfn.XLOOKUP(Table2[[#This Row],[Trigger]],SwitchButtons[switch],SwitchButtons[input])+Table2[[#This Row],[start]]</f>
        <v>0</v>
      </c>
      <c r="H338" t="s">
        <v>560</v>
      </c>
      <c r="I338" t="str">
        <f>_xlfn.XLOOKUP(Table2[[#This Row],[set1]],circuitoutputs[circuit],circuitoutputs[device])</f>
        <v>D8</v>
      </c>
      <c r="J338">
        <f>_xlfn.XLOOKUP(Table2[[#This Row],[set1]],circuitoutputs[circuit],circuitoutputs[output])</f>
        <v>1</v>
      </c>
      <c r="K338" t="s">
        <v>593</v>
      </c>
    </row>
    <row r="339" spans="1:11" hidden="1" x14ac:dyDescent="0.25">
      <c r="A339" t="s">
        <v>125</v>
      </c>
      <c r="B339" t="s">
        <v>192</v>
      </c>
      <c r="C339" cm="1">
        <f t="array" ref="C339">_xlfn.XLOOKUP(1,(LightSpec[Location]=Table2[[#This Row],[lookup Room]]) * (LightSpec[DiagNo]=Table2[[#This Row],[lookup Device]]), LightSpec[startinput])</f>
        <v>0</v>
      </c>
      <c r="D339" t="s">
        <v>445</v>
      </c>
      <c r="E339" t="s">
        <v>501</v>
      </c>
      <c r="F339" t="str" cm="1">
        <f t="array" aca="1" ref="F339" ca="1">_xlfn.LET(
  _xlpm.txt, _xlfn.XLOOKUP(1,(LightSpec[Location]=Table2[[#This Row],[lookup Room]]) * (LightSpec[DiagNo]=Table2[[#This Row],[lookup Device]]),LightSpec[From]),
  _xlpm.n, LEN(_xlpm.txt),
  _xlpm.pos, MATCH(FALSE, ISNUMBER(MID(_xlpm.txt, ROW(INDIRECT("2:" &amp; _xlpm.n)), 1)*1), 0),
  LEFT(_xlpm.txt, _xlpm.pos)
)</f>
        <v>D7</v>
      </c>
      <c r="G339">
        <f>_xlfn.XLOOKUP(Table2[[#This Row],[Trigger]],SwitchButtons[switch],SwitchButtons[input])+Table2[[#This Row],[start]]</f>
        <v>0</v>
      </c>
      <c r="H339" t="s">
        <v>513</v>
      </c>
      <c r="I339" t="str">
        <f>_xlfn.XLOOKUP(Table2[[#This Row],[set1]],circuitoutputs[circuit],circuitoutputs[device])</f>
        <v>P4</v>
      </c>
      <c r="J339">
        <f>_xlfn.XLOOKUP(Table2[[#This Row],[set1]],circuitoutputs[circuit],circuitoutputs[output])</f>
        <v>0</v>
      </c>
      <c r="K339" t="s">
        <v>593</v>
      </c>
    </row>
    <row r="340" spans="1:11" hidden="1" x14ac:dyDescent="0.25">
      <c r="A340" t="s">
        <v>125</v>
      </c>
      <c r="B340" t="s">
        <v>192</v>
      </c>
      <c r="C340" cm="1">
        <f t="array" ref="C340">_xlfn.XLOOKUP(1,(LightSpec[Location]=Table2[[#This Row],[lookup Room]]) * (LightSpec[DiagNo]=Table2[[#This Row],[lookup Device]]), LightSpec[startinput])</f>
        <v>0</v>
      </c>
      <c r="D340" t="s">
        <v>445</v>
      </c>
      <c r="E340" t="s">
        <v>501</v>
      </c>
      <c r="F340" t="str" cm="1">
        <f t="array" aca="1" ref="F340" ca="1">_xlfn.LET(
  _xlpm.txt, _xlfn.XLOOKUP(1,(LightSpec[Location]=Table2[[#This Row],[lookup Room]]) * (LightSpec[DiagNo]=Table2[[#This Row],[lookup Device]]),LightSpec[From]),
  _xlpm.n, LEN(_xlpm.txt),
  _xlpm.pos, MATCH(FALSE, ISNUMBER(MID(_xlpm.txt, ROW(INDIRECT("2:" &amp; _xlpm.n)), 1)*1), 0),
  LEFT(_xlpm.txt, _xlpm.pos)
)</f>
        <v>D7</v>
      </c>
      <c r="G340">
        <f>_xlfn.XLOOKUP(Table2[[#This Row],[Trigger]],SwitchButtons[switch],SwitchButtons[input])+Table2[[#This Row],[start]]</f>
        <v>0</v>
      </c>
      <c r="H340" t="s">
        <v>561</v>
      </c>
      <c r="I340" t="str">
        <f>_xlfn.XLOOKUP(Table2[[#This Row],[set1]],circuitoutputs[circuit],circuitoutputs[device])</f>
        <v>D9</v>
      </c>
      <c r="J340">
        <f>_xlfn.XLOOKUP(Table2[[#This Row],[set1]],circuitoutputs[circuit],circuitoutputs[output])</f>
        <v>1</v>
      </c>
      <c r="K340" t="s">
        <v>593</v>
      </c>
    </row>
    <row r="341" spans="1:11" hidden="1" x14ac:dyDescent="0.25">
      <c r="A341" t="s">
        <v>125</v>
      </c>
      <c r="B341" t="s">
        <v>192</v>
      </c>
      <c r="C341" cm="1">
        <f t="array" ref="C341">_xlfn.XLOOKUP(1,(LightSpec[Location]=Table2[[#This Row],[lookup Room]]) * (LightSpec[DiagNo]=Table2[[#This Row],[lookup Device]]), LightSpec[startinput])</f>
        <v>0</v>
      </c>
      <c r="D341" t="s">
        <v>445</v>
      </c>
      <c r="E341" t="s">
        <v>501</v>
      </c>
      <c r="F341" t="str" cm="1">
        <f t="array" aca="1" ref="F341" ca="1">_xlfn.LET(
  _xlpm.txt, _xlfn.XLOOKUP(1,(LightSpec[Location]=Table2[[#This Row],[lookup Room]]) * (LightSpec[DiagNo]=Table2[[#This Row],[lookup Device]]),LightSpec[From]),
  _xlpm.n, LEN(_xlpm.txt),
  _xlpm.pos, MATCH(FALSE, ISNUMBER(MID(_xlpm.txt, ROW(INDIRECT("2:" &amp; _xlpm.n)), 1)*1), 0),
  LEFT(_xlpm.txt, _xlpm.pos)
)</f>
        <v>D7</v>
      </c>
      <c r="G341">
        <f>_xlfn.XLOOKUP(Table2[[#This Row],[Trigger]],SwitchButtons[switch],SwitchButtons[input])+Table2[[#This Row],[start]]</f>
        <v>0</v>
      </c>
      <c r="H341" t="s">
        <v>525</v>
      </c>
      <c r="I341" t="str">
        <f>_xlfn.XLOOKUP(Table2[[#This Row],[set1]],circuitoutputs[circuit],circuitoutputs[device])</f>
        <v>D10</v>
      </c>
      <c r="J341">
        <f>_xlfn.XLOOKUP(Table2[[#This Row],[set1]],circuitoutputs[circuit],circuitoutputs[output])</f>
        <v>0</v>
      </c>
      <c r="K341" t="s">
        <v>593</v>
      </c>
    </row>
    <row r="342" spans="1:11" hidden="1" x14ac:dyDescent="0.25">
      <c r="A342" t="s">
        <v>125</v>
      </c>
      <c r="B342" t="s">
        <v>192</v>
      </c>
      <c r="C342" cm="1">
        <f t="array" ref="C342">_xlfn.XLOOKUP(1,(LightSpec[Location]=Table2[[#This Row],[lookup Room]]) * (LightSpec[DiagNo]=Table2[[#This Row],[lookup Device]]), LightSpec[startinput])</f>
        <v>0</v>
      </c>
      <c r="D342" t="s">
        <v>446</v>
      </c>
      <c r="E342" t="s">
        <v>500</v>
      </c>
      <c r="F342" t="str" cm="1">
        <f t="array" aca="1" ref="F342" ca="1">_xlfn.LET(
  _xlpm.txt, _xlfn.XLOOKUP(1,(LightSpec[Location]=Table2[[#This Row],[lookup Room]]) * (LightSpec[DiagNo]=Table2[[#This Row],[lookup Device]]),LightSpec[From]),
  _xlpm.n, LEN(_xlpm.txt),
  _xlpm.pos, MATCH(FALSE, ISNUMBER(MID(_xlpm.txt, ROW(INDIRECT("2:" &amp; _xlpm.n)), 1)*1), 0),
  LEFT(_xlpm.txt, _xlpm.pos)
)</f>
        <v>D7</v>
      </c>
      <c r="G342">
        <f>_xlfn.XLOOKUP(Table2[[#This Row],[Trigger]],SwitchButtons[switch],SwitchButtons[input])+Table2[[#This Row],[start]]</f>
        <v>1</v>
      </c>
      <c r="H342" t="s">
        <v>522</v>
      </c>
      <c r="I342" t="str">
        <f>_xlfn.XLOOKUP(Table2[[#This Row],[set1]],circuitoutputs[circuit],circuitoutputs[device])</f>
        <v>D7</v>
      </c>
      <c r="J342">
        <f>_xlfn.XLOOKUP(Table2[[#This Row],[set1]],circuitoutputs[circuit],circuitoutputs[output])</f>
        <v>0</v>
      </c>
      <c r="K342" t="s">
        <v>495</v>
      </c>
    </row>
    <row r="343" spans="1:11" hidden="1" x14ac:dyDescent="0.25">
      <c r="A343" t="s">
        <v>125</v>
      </c>
      <c r="B343" t="s">
        <v>192</v>
      </c>
      <c r="C343" cm="1">
        <f t="array" ref="C343">_xlfn.XLOOKUP(1,(LightSpec[Location]=Table2[[#This Row],[lookup Room]]) * (LightSpec[DiagNo]=Table2[[#This Row],[lookup Device]]), LightSpec[startinput])</f>
        <v>0</v>
      </c>
      <c r="D343" t="s">
        <v>446</v>
      </c>
      <c r="E343" t="s">
        <v>500</v>
      </c>
      <c r="F343" t="str" cm="1">
        <f t="array" aca="1" ref="F343" ca="1">_xlfn.LET(
  _xlpm.txt, _xlfn.XLOOKUP(1,(LightSpec[Location]=Table2[[#This Row],[lookup Room]]) * (LightSpec[DiagNo]=Table2[[#This Row],[lookup Device]]),LightSpec[From]),
  _xlpm.n, LEN(_xlpm.txt),
  _xlpm.pos, MATCH(FALSE, ISNUMBER(MID(_xlpm.txt, ROW(INDIRECT("2:" &amp; _xlpm.n)), 1)*1), 0),
  LEFT(_xlpm.txt, _xlpm.pos)
)</f>
        <v>D7</v>
      </c>
      <c r="G343">
        <f>_xlfn.XLOOKUP(Table2[[#This Row],[Trigger]],SwitchButtons[switch],SwitchButtons[input])+Table2[[#This Row],[start]]</f>
        <v>1</v>
      </c>
      <c r="H343" t="s">
        <v>559</v>
      </c>
      <c r="I343" t="str">
        <f>_xlfn.XLOOKUP(Table2[[#This Row],[set1]],circuitoutputs[circuit],circuitoutputs[device])</f>
        <v>D7</v>
      </c>
      <c r="J343">
        <f>_xlfn.XLOOKUP(Table2[[#This Row],[set1]],circuitoutputs[circuit],circuitoutputs[output])</f>
        <v>1</v>
      </c>
      <c r="K343" t="s">
        <v>495</v>
      </c>
    </row>
    <row r="344" spans="1:11" hidden="1" x14ac:dyDescent="0.25">
      <c r="A344" t="s">
        <v>125</v>
      </c>
      <c r="B344" t="s">
        <v>192</v>
      </c>
      <c r="C344" cm="1">
        <f t="array" ref="C344">_xlfn.XLOOKUP(1,(LightSpec[Location]=Table2[[#This Row],[lookup Room]]) * (LightSpec[DiagNo]=Table2[[#This Row],[lookup Device]]), LightSpec[startinput])</f>
        <v>0</v>
      </c>
      <c r="D344" t="s">
        <v>446</v>
      </c>
      <c r="E344" t="s">
        <v>500</v>
      </c>
      <c r="F344" t="str" cm="1">
        <f t="array" aca="1" ref="F344" ca="1">_xlfn.LET(
  _xlpm.txt, _xlfn.XLOOKUP(1,(LightSpec[Location]=Table2[[#This Row],[lookup Room]]) * (LightSpec[DiagNo]=Table2[[#This Row],[lookup Device]]),LightSpec[From]),
  _xlpm.n, LEN(_xlpm.txt),
  _xlpm.pos, MATCH(FALSE, ISNUMBER(MID(_xlpm.txt, ROW(INDIRECT("2:" &amp; _xlpm.n)), 1)*1), 0),
  LEFT(_xlpm.txt, _xlpm.pos)
)</f>
        <v>D7</v>
      </c>
      <c r="G344">
        <f>_xlfn.XLOOKUP(Table2[[#This Row],[Trigger]],SwitchButtons[switch],SwitchButtons[input])+Table2[[#This Row],[start]]</f>
        <v>1</v>
      </c>
      <c r="H344" t="s">
        <v>523</v>
      </c>
      <c r="I344" t="str">
        <f>_xlfn.XLOOKUP(Table2[[#This Row],[set1]],circuitoutputs[circuit],circuitoutputs[device])</f>
        <v>D8</v>
      </c>
      <c r="J344">
        <f>_xlfn.XLOOKUP(Table2[[#This Row],[set1]],circuitoutputs[circuit],circuitoutputs[output])</f>
        <v>0</v>
      </c>
      <c r="K344" t="s">
        <v>495</v>
      </c>
    </row>
    <row r="345" spans="1:11" hidden="1" x14ac:dyDescent="0.25">
      <c r="A345" t="s">
        <v>125</v>
      </c>
      <c r="B345" t="s">
        <v>192</v>
      </c>
      <c r="C345" cm="1">
        <f t="array" ref="C345">_xlfn.XLOOKUP(1,(LightSpec[Location]=Table2[[#This Row],[lookup Room]]) * (LightSpec[DiagNo]=Table2[[#This Row],[lookup Device]]), LightSpec[startinput])</f>
        <v>0</v>
      </c>
      <c r="D345" t="s">
        <v>446</v>
      </c>
      <c r="E345" t="s">
        <v>500</v>
      </c>
      <c r="F345" t="str" cm="1">
        <f t="array" aca="1" ref="F345" ca="1">_xlfn.LET(
  _xlpm.txt, _xlfn.XLOOKUP(1,(LightSpec[Location]=Table2[[#This Row],[lookup Room]]) * (LightSpec[DiagNo]=Table2[[#This Row],[lookup Device]]),LightSpec[From]),
  _xlpm.n, LEN(_xlpm.txt),
  _xlpm.pos, MATCH(FALSE, ISNUMBER(MID(_xlpm.txt, ROW(INDIRECT("2:" &amp; _xlpm.n)), 1)*1), 0),
  LEFT(_xlpm.txt, _xlpm.pos)
)</f>
        <v>D7</v>
      </c>
      <c r="G345">
        <f>_xlfn.XLOOKUP(Table2[[#This Row],[Trigger]],SwitchButtons[switch],SwitchButtons[input])+Table2[[#This Row],[start]]</f>
        <v>1</v>
      </c>
      <c r="H345" t="s">
        <v>560</v>
      </c>
      <c r="I345" t="str">
        <f>_xlfn.XLOOKUP(Table2[[#This Row],[set1]],circuitoutputs[circuit],circuitoutputs[device])</f>
        <v>D8</v>
      </c>
      <c r="J345">
        <f>_xlfn.XLOOKUP(Table2[[#This Row],[set1]],circuitoutputs[circuit],circuitoutputs[output])</f>
        <v>1</v>
      </c>
      <c r="K345" t="s">
        <v>495</v>
      </c>
    </row>
    <row r="346" spans="1:11" hidden="1" x14ac:dyDescent="0.25">
      <c r="A346" t="s">
        <v>125</v>
      </c>
      <c r="B346" t="s">
        <v>192</v>
      </c>
      <c r="C346" cm="1">
        <f t="array" ref="C346">_xlfn.XLOOKUP(1,(LightSpec[Location]=Table2[[#This Row],[lookup Room]]) * (LightSpec[DiagNo]=Table2[[#This Row],[lookup Device]]), LightSpec[startinput])</f>
        <v>0</v>
      </c>
      <c r="D346" t="s">
        <v>446</v>
      </c>
      <c r="E346" t="s">
        <v>500</v>
      </c>
      <c r="F346" t="str" cm="1">
        <f t="array" aca="1" ref="F346" ca="1">_xlfn.LET(
  _xlpm.txt, _xlfn.XLOOKUP(1,(LightSpec[Location]=Table2[[#This Row],[lookup Room]]) * (LightSpec[DiagNo]=Table2[[#This Row],[lookup Device]]),LightSpec[From]),
  _xlpm.n, LEN(_xlpm.txt),
  _xlpm.pos, MATCH(FALSE, ISNUMBER(MID(_xlpm.txt, ROW(INDIRECT("2:" &amp; _xlpm.n)), 1)*1), 0),
  LEFT(_xlpm.txt, _xlpm.pos)
)</f>
        <v>D7</v>
      </c>
      <c r="G346">
        <f>_xlfn.XLOOKUP(Table2[[#This Row],[Trigger]],SwitchButtons[switch],SwitchButtons[input])+Table2[[#This Row],[start]]</f>
        <v>1</v>
      </c>
      <c r="H346" t="s">
        <v>513</v>
      </c>
      <c r="I346" t="str">
        <f>_xlfn.XLOOKUP(Table2[[#This Row],[set1]],circuitoutputs[circuit],circuitoutputs[device])</f>
        <v>P4</v>
      </c>
      <c r="J346">
        <f>_xlfn.XLOOKUP(Table2[[#This Row],[set1]],circuitoutputs[circuit],circuitoutputs[output])</f>
        <v>0</v>
      </c>
      <c r="K346" t="s">
        <v>495</v>
      </c>
    </row>
    <row r="347" spans="1:11" hidden="1" x14ac:dyDescent="0.25">
      <c r="A347" t="s">
        <v>125</v>
      </c>
      <c r="B347" t="s">
        <v>192</v>
      </c>
      <c r="C347" cm="1">
        <f t="array" ref="C347">_xlfn.XLOOKUP(1,(LightSpec[Location]=Table2[[#This Row],[lookup Room]]) * (LightSpec[DiagNo]=Table2[[#This Row],[lookup Device]]), LightSpec[startinput])</f>
        <v>0</v>
      </c>
      <c r="D347" t="s">
        <v>446</v>
      </c>
      <c r="E347" t="s">
        <v>500</v>
      </c>
      <c r="F347" t="str" cm="1">
        <f t="array" aca="1" ref="F347" ca="1">_xlfn.LET(
  _xlpm.txt, _xlfn.XLOOKUP(1,(LightSpec[Location]=Table2[[#This Row],[lookup Room]]) * (LightSpec[DiagNo]=Table2[[#This Row],[lookup Device]]),LightSpec[From]),
  _xlpm.n, LEN(_xlpm.txt),
  _xlpm.pos, MATCH(FALSE, ISNUMBER(MID(_xlpm.txt, ROW(INDIRECT("2:" &amp; _xlpm.n)), 1)*1), 0),
  LEFT(_xlpm.txt, _xlpm.pos)
)</f>
        <v>D7</v>
      </c>
      <c r="G347">
        <f>_xlfn.XLOOKUP(Table2[[#This Row],[Trigger]],SwitchButtons[switch],SwitchButtons[input])+Table2[[#This Row],[start]]</f>
        <v>1</v>
      </c>
      <c r="H347" t="s">
        <v>561</v>
      </c>
      <c r="I347" t="str">
        <f>_xlfn.XLOOKUP(Table2[[#This Row],[set1]],circuitoutputs[circuit],circuitoutputs[device])</f>
        <v>D9</v>
      </c>
      <c r="J347">
        <f>_xlfn.XLOOKUP(Table2[[#This Row],[set1]],circuitoutputs[circuit],circuitoutputs[output])</f>
        <v>1</v>
      </c>
      <c r="K347" t="s">
        <v>495</v>
      </c>
    </row>
    <row r="348" spans="1:11" hidden="1" x14ac:dyDescent="0.25">
      <c r="A348" t="s">
        <v>125</v>
      </c>
      <c r="B348" t="s">
        <v>192</v>
      </c>
      <c r="C348" cm="1">
        <f t="array" ref="C348">_xlfn.XLOOKUP(1,(LightSpec[Location]=Table2[[#This Row],[lookup Room]]) * (LightSpec[DiagNo]=Table2[[#This Row],[lookup Device]]), LightSpec[startinput])</f>
        <v>0</v>
      </c>
      <c r="D348" t="s">
        <v>446</v>
      </c>
      <c r="E348" t="s">
        <v>500</v>
      </c>
      <c r="F348" t="str" cm="1">
        <f t="array" aca="1" ref="F348" ca="1">_xlfn.LET(
  _xlpm.txt, _xlfn.XLOOKUP(1,(LightSpec[Location]=Table2[[#This Row],[lookup Room]]) * (LightSpec[DiagNo]=Table2[[#This Row],[lookup Device]]),LightSpec[From]),
  _xlpm.n, LEN(_xlpm.txt),
  _xlpm.pos, MATCH(FALSE, ISNUMBER(MID(_xlpm.txt, ROW(INDIRECT("2:" &amp; _xlpm.n)), 1)*1), 0),
  LEFT(_xlpm.txt, _xlpm.pos)
)</f>
        <v>D7</v>
      </c>
      <c r="G348">
        <f>_xlfn.XLOOKUP(Table2[[#This Row],[Trigger]],SwitchButtons[switch],SwitchButtons[input])+Table2[[#This Row],[start]]</f>
        <v>1</v>
      </c>
      <c r="H348" t="s">
        <v>525</v>
      </c>
      <c r="I348" t="str">
        <f>_xlfn.XLOOKUP(Table2[[#This Row],[set1]],circuitoutputs[circuit],circuitoutputs[device])</f>
        <v>D10</v>
      </c>
      <c r="J348">
        <f>_xlfn.XLOOKUP(Table2[[#This Row],[set1]],circuitoutputs[circuit],circuitoutputs[output])</f>
        <v>0</v>
      </c>
      <c r="K348" t="s">
        <v>495</v>
      </c>
    </row>
    <row r="349" spans="1:11" hidden="1" x14ac:dyDescent="0.25">
      <c r="A349" t="s">
        <v>125</v>
      </c>
      <c r="B349" t="s">
        <v>192</v>
      </c>
      <c r="C349" cm="1">
        <f t="array" ref="C349">_xlfn.XLOOKUP(1,(LightSpec[Location]=Table2[[#This Row],[lookup Room]]) * (LightSpec[DiagNo]=Table2[[#This Row],[lookup Device]]), LightSpec[startinput])</f>
        <v>0</v>
      </c>
      <c r="D349" t="s">
        <v>446</v>
      </c>
      <c r="E349" t="s">
        <v>503</v>
      </c>
      <c r="F349" t="str" cm="1">
        <f t="array" aca="1" ref="F349" ca="1">_xlfn.LET(
  _xlpm.txt, _xlfn.XLOOKUP(1,(LightSpec[Location]=Table2[[#This Row],[lookup Room]]) * (LightSpec[DiagNo]=Table2[[#This Row],[lookup Device]]),LightSpec[From]),
  _xlpm.n, LEN(_xlpm.txt),
  _xlpm.pos, MATCH(FALSE, ISNUMBER(MID(_xlpm.txt, ROW(INDIRECT("2:" &amp; _xlpm.n)), 1)*1), 0),
  LEFT(_xlpm.txt, _xlpm.pos)
)</f>
        <v>D7</v>
      </c>
      <c r="G349">
        <f>_xlfn.XLOOKUP(Table2[[#This Row],[Trigger]],SwitchButtons[switch],SwitchButtons[input])+Table2[[#This Row],[start]]</f>
        <v>1</v>
      </c>
      <c r="H349" t="s">
        <v>520</v>
      </c>
      <c r="I349" t="str">
        <f>_xlfn.XLOOKUP(Table2[[#This Row],[set1]],circuitoutputs[circuit],circuitoutputs[device])</f>
        <v>D5</v>
      </c>
      <c r="J349">
        <f>_xlfn.XLOOKUP(Table2[[#This Row],[set1]],circuitoutputs[circuit],circuitoutputs[output])</f>
        <v>0</v>
      </c>
      <c r="K349" t="s">
        <v>495</v>
      </c>
    </row>
    <row r="350" spans="1:11" hidden="1" x14ac:dyDescent="0.25">
      <c r="A350" t="s">
        <v>125</v>
      </c>
      <c r="B350" t="s">
        <v>192</v>
      </c>
      <c r="C350" cm="1">
        <f t="array" ref="C350">_xlfn.XLOOKUP(1,(LightSpec[Location]=Table2[[#This Row],[lookup Room]]) * (LightSpec[DiagNo]=Table2[[#This Row],[lookup Device]]), LightSpec[startinput])</f>
        <v>0</v>
      </c>
      <c r="D350" t="s">
        <v>446</v>
      </c>
      <c r="E350" t="s">
        <v>503</v>
      </c>
      <c r="F350" t="str" cm="1">
        <f t="array" aca="1" ref="F350" ca="1">_xlfn.LET(
  _xlpm.txt, _xlfn.XLOOKUP(1,(LightSpec[Location]=Table2[[#This Row],[lookup Room]]) * (LightSpec[DiagNo]=Table2[[#This Row],[lookup Device]]),LightSpec[From]),
  _xlpm.n, LEN(_xlpm.txt),
  _xlpm.pos, MATCH(FALSE, ISNUMBER(MID(_xlpm.txt, ROW(INDIRECT("2:" &amp; _xlpm.n)), 1)*1), 0),
  LEFT(_xlpm.txt, _xlpm.pos)
)</f>
        <v>D7</v>
      </c>
      <c r="G350">
        <f>_xlfn.XLOOKUP(Table2[[#This Row],[Trigger]],SwitchButtons[switch],SwitchButtons[input])+Table2[[#This Row],[start]]</f>
        <v>1</v>
      </c>
      <c r="H350" t="s">
        <v>557</v>
      </c>
      <c r="I350" t="str">
        <f>_xlfn.XLOOKUP(Table2[[#This Row],[set1]],circuitoutputs[circuit],circuitoutputs[device])</f>
        <v>D5</v>
      </c>
      <c r="J350">
        <f>_xlfn.XLOOKUP(Table2[[#This Row],[set1]],circuitoutputs[circuit],circuitoutputs[output])</f>
        <v>1</v>
      </c>
      <c r="K350" t="s">
        <v>495</v>
      </c>
    </row>
    <row r="351" spans="1:11" hidden="1" x14ac:dyDescent="0.25">
      <c r="A351" t="s">
        <v>125</v>
      </c>
      <c r="B351" t="s">
        <v>192</v>
      </c>
      <c r="C351" cm="1">
        <f t="array" ref="C351">_xlfn.XLOOKUP(1,(LightSpec[Location]=Table2[[#This Row],[lookup Room]]) * (LightSpec[DiagNo]=Table2[[#This Row],[lookup Device]]), LightSpec[startinput])</f>
        <v>0</v>
      </c>
      <c r="D351" t="s">
        <v>446</v>
      </c>
      <c r="E351" t="s">
        <v>503</v>
      </c>
      <c r="F351" t="str" cm="1">
        <f t="array" aca="1" ref="F351" ca="1">_xlfn.LET(
  _xlpm.txt, _xlfn.XLOOKUP(1,(LightSpec[Location]=Table2[[#This Row],[lookup Room]]) * (LightSpec[DiagNo]=Table2[[#This Row],[lookup Device]]),LightSpec[From]),
  _xlpm.n, LEN(_xlpm.txt),
  _xlpm.pos, MATCH(FALSE, ISNUMBER(MID(_xlpm.txt, ROW(INDIRECT("2:" &amp; _xlpm.n)), 1)*1), 0),
  LEFT(_xlpm.txt, _xlpm.pos)
)</f>
        <v>D7</v>
      </c>
      <c r="G351">
        <f>_xlfn.XLOOKUP(Table2[[#This Row],[Trigger]],SwitchButtons[switch],SwitchButtons[input])+Table2[[#This Row],[start]]</f>
        <v>1</v>
      </c>
      <c r="H351" t="s">
        <v>522</v>
      </c>
      <c r="I351" t="str">
        <f>_xlfn.XLOOKUP(Table2[[#This Row],[set1]],circuitoutputs[circuit],circuitoutputs[device])</f>
        <v>D7</v>
      </c>
      <c r="J351">
        <f>_xlfn.XLOOKUP(Table2[[#This Row],[set1]],circuitoutputs[circuit],circuitoutputs[output])</f>
        <v>0</v>
      </c>
      <c r="K351" t="s">
        <v>495</v>
      </c>
    </row>
    <row r="352" spans="1:11" hidden="1" x14ac:dyDescent="0.25">
      <c r="A352" t="s">
        <v>125</v>
      </c>
      <c r="B352" t="s">
        <v>192</v>
      </c>
      <c r="C352" cm="1">
        <f t="array" ref="C352">_xlfn.XLOOKUP(1,(LightSpec[Location]=Table2[[#This Row],[lookup Room]]) * (LightSpec[DiagNo]=Table2[[#This Row],[lookup Device]]), LightSpec[startinput])</f>
        <v>0</v>
      </c>
      <c r="D352" t="s">
        <v>446</v>
      </c>
      <c r="E352" t="s">
        <v>503</v>
      </c>
      <c r="F352" t="str" cm="1">
        <f t="array" aca="1" ref="F352" ca="1">_xlfn.LET(
  _xlpm.txt, _xlfn.XLOOKUP(1,(LightSpec[Location]=Table2[[#This Row],[lookup Room]]) * (LightSpec[DiagNo]=Table2[[#This Row],[lookup Device]]),LightSpec[From]),
  _xlpm.n, LEN(_xlpm.txt),
  _xlpm.pos, MATCH(FALSE, ISNUMBER(MID(_xlpm.txt, ROW(INDIRECT("2:" &amp; _xlpm.n)), 1)*1), 0),
  LEFT(_xlpm.txt, _xlpm.pos)
)</f>
        <v>D7</v>
      </c>
      <c r="G352">
        <f>_xlfn.XLOOKUP(Table2[[#This Row],[Trigger]],SwitchButtons[switch],SwitchButtons[input])+Table2[[#This Row],[start]]</f>
        <v>1</v>
      </c>
      <c r="H352" t="s">
        <v>559</v>
      </c>
      <c r="I352" t="str">
        <f>_xlfn.XLOOKUP(Table2[[#This Row],[set1]],circuitoutputs[circuit],circuitoutputs[device])</f>
        <v>D7</v>
      </c>
      <c r="J352">
        <f>_xlfn.XLOOKUP(Table2[[#This Row],[set1]],circuitoutputs[circuit],circuitoutputs[output])</f>
        <v>1</v>
      </c>
      <c r="K352" t="s">
        <v>495</v>
      </c>
    </row>
    <row r="353" spans="1:11" hidden="1" x14ac:dyDescent="0.25">
      <c r="A353" t="s">
        <v>125</v>
      </c>
      <c r="B353" t="s">
        <v>192</v>
      </c>
      <c r="C353" cm="1">
        <f t="array" ref="C353">_xlfn.XLOOKUP(1,(LightSpec[Location]=Table2[[#This Row],[lookup Room]]) * (LightSpec[DiagNo]=Table2[[#This Row],[lookup Device]]), LightSpec[startinput])</f>
        <v>0</v>
      </c>
      <c r="D353" t="s">
        <v>446</v>
      </c>
      <c r="E353" t="s">
        <v>503</v>
      </c>
      <c r="F353" t="str" cm="1">
        <f t="array" aca="1" ref="F353" ca="1">_xlfn.LET(
  _xlpm.txt, _xlfn.XLOOKUP(1,(LightSpec[Location]=Table2[[#This Row],[lookup Room]]) * (LightSpec[DiagNo]=Table2[[#This Row],[lookup Device]]),LightSpec[From]),
  _xlpm.n, LEN(_xlpm.txt),
  _xlpm.pos, MATCH(FALSE, ISNUMBER(MID(_xlpm.txt, ROW(INDIRECT("2:" &amp; _xlpm.n)), 1)*1), 0),
  LEFT(_xlpm.txt, _xlpm.pos)
)</f>
        <v>D7</v>
      </c>
      <c r="G353">
        <f>_xlfn.XLOOKUP(Table2[[#This Row],[Trigger]],SwitchButtons[switch],SwitchButtons[input])+Table2[[#This Row],[start]]</f>
        <v>1</v>
      </c>
      <c r="H353" t="s">
        <v>523</v>
      </c>
      <c r="I353" t="str">
        <f>_xlfn.XLOOKUP(Table2[[#This Row],[set1]],circuitoutputs[circuit],circuitoutputs[device])</f>
        <v>D8</v>
      </c>
      <c r="J353">
        <f>_xlfn.XLOOKUP(Table2[[#This Row],[set1]],circuitoutputs[circuit],circuitoutputs[output])</f>
        <v>0</v>
      </c>
      <c r="K353" t="s">
        <v>495</v>
      </c>
    </row>
    <row r="354" spans="1:11" hidden="1" x14ac:dyDescent="0.25">
      <c r="A354" t="s">
        <v>125</v>
      </c>
      <c r="B354" t="s">
        <v>192</v>
      </c>
      <c r="C354" cm="1">
        <f t="array" ref="C354">_xlfn.XLOOKUP(1,(LightSpec[Location]=Table2[[#This Row],[lookup Room]]) * (LightSpec[DiagNo]=Table2[[#This Row],[lookup Device]]), LightSpec[startinput])</f>
        <v>0</v>
      </c>
      <c r="D354" t="s">
        <v>446</v>
      </c>
      <c r="E354" t="s">
        <v>503</v>
      </c>
      <c r="F354" t="str" cm="1">
        <f t="array" aca="1" ref="F354" ca="1">_xlfn.LET(
  _xlpm.txt, _xlfn.XLOOKUP(1,(LightSpec[Location]=Table2[[#This Row],[lookup Room]]) * (LightSpec[DiagNo]=Table2[[#This Row],[lookup Device]]),LightSpec[From]),
  _xlpm.n, LEN(_xlpm.txt),
  _xlpm.pos, MATCH(FALSE, ISNUMBER(MID(_xlpm.txt, ROW(INDIRECT("2:" &amp; _xlpm.n)), 1)*1), 0),
  LEFT(_xlpm.txt, _xlpm.pos)
)</f>
        <v>D7</v>
      </c>
      <c r="G354">
        <f>_xlfn.XLOOKUP(Table2[[#This Row],[Trigger]],SwitchButtons[switch],SwitchButtons[input])+Table2[[#This Row],[start]]</f>
        <v>1</v>
      </c>
      <c r="H354" t="s">
        <v>560</v>
      </c>
      <c r="I354" t="str">
        <f>_xlfn.XLOOKUP(Table2[[#This Row],[set1]],circuitoutputs[circuit],circuitoutputs[device])</f>
        <v>D8</v>
      </c>
      <c r="J354">
        <f>_xlfn.XLOOKUP(Table2[[#This Row],[set1]],circuitoutputs[circuit],circuitoutputs[output])</f>
        <v>1</v>
      </c>
      <c r="K354" t="s">
        <v>495</v>
      </c>
    </row>
    <row r="355" spans="1:11" hidden="1" x14ac:dyDescent="0.25">
      <c r="A355" t="s">
        <v>125</v>
      </c>
      <c r="B355" t="s">
        <v>192</v>
      </c>
      <c r="C355" cm="1">
        <f t="array" ref="C355">_xlfn.XLOOKUP(1,(LightSpec[Location]=Table2[[#This Row],[lookup Room]]) * (LightSpec[DiagNo]=Table2[[#This Row],[lookup Device]]), LightSpec[startinput])</f>
        <v>0</v>
      </c>
      <c r="D355" t="s">
        <v>446</v>
      </c>
      <c r="E355" t="s">
        <v>503</v>
      </c>
      <c r="F355" t="str" cm="1">
        <f t="array" aca="1" ref="F355" ca="1">_xlfn.LET(
  _xlpm.txt, _xlfn.XLOOKUP(1,(LightSpec[Location]=Table2[[#This Row],[lookup Room]]) * (LightSpec[DiagNo]=Table2[[#This Row],[lookup Device]]),LightSpec[From]),
  _xlpm.n, LEN(_xlpm.txt),
  _xlpm.pos, MATCH(FALSE, ISNUMBER(MID(_xlpm.txt, ROW(INDIRECT("2:" &amp; _xlpm.n)), 1)*1), 0),
  LEFT(_xlpm.txt, _xlpm.pos)
)</f>
        <v>D7</v>
      </c>
      <c r="G355">
        <f>_xlfn.XLOOKUP(Table2[[#This Row],[Trigger]],SwitchButtons[switch],SwitchButtons[input])+Table2[[#This Row],[start]]</f>
        <v>1</v>
      </c>
      <c r="H355" t="s">
        <v>524</v>
      </c>
      <c r="I355" t="str">
        <f>_xlfn.XLOOKUP(Table2[[#This Row],[set1]],circuitoutputs[circuit],circuitoutputs[device])</f>
        <v>D9</v>
      </c>
      <c r="J355">
        <f>_xlfn.XLOOKUP(Table2[[#This Row],[set1]],circuitoutputs[circuit],circuitoutputs[output])</f>
        <v>0</v>
      </c>
      <c r="K355" t="s">
        <v>495</v>
      </c>
    </row>
    <row r="356" spans="1:11" hidden="1" x14ac:dyDescent="0.25">
      <c r="A356" t="s">
        <v>125</v>
      </c>
      <c r="B356" t="s">
        <v>192</v>
      </c>
      <c r="C356" cm="1">
        <f t="array" ref="C356">_xlfn.XLOOKUP(1,(LightSpec[Location]=Table2[[#This Row],[lookup Room]]) * (LightSpec[DiagNo]=Table2[[#This Row],[lookup Device]]), LightSpec[startinput])</f>
        <v>0</v>
      </c>
      <c r="D356" t="s">
        <v>446</v>
      </c>
      <c r="E356" t="s">
        <v>503</v>
      </c>
      <c r="F356" t="str" cm="1">
        <f t="array" aca="1" ref="F356" ca="1">_xlfn.LET(
  _xlpm.txt, _xlfn.XLOOKUP(1,(LightSpec[Location]=Table2[[#This Row],[lookup Room]]) * (LightSpec[DiagNo]=Table2[[#This Row],[lookup Device]]),LightSpec[From]),
  _xlpm.n, LEN(_xlpm.txt),
  _xlpm.pos, MATCH(FALSE, ISNUMBER(MID(_xlpm.txt, ROW(INDIRECT("2:" &amp; _xlpm.n)), 1)*1), 0),
  LEFT(_xlpm.txt, _xlpm.pos)
)</f>
        <v>D7</v>
      </c>
      <c r="G356">
        <f>_xlfn.XLOOKUP(Table2[[#This Row],[Trigger]],SwitchButtons[switch],SwitchButtons[input])+Table2[[#This Row],[start]]</f>
        <v>1</v>
      </c>
      <c r="H356" t="s">
        <v>513</v>
      </c>
      <c r="I356" t="str">
        <f>_xlfn.XLOOKUP(Table2[[#This Row],[set1]],circuitoutputs[circuit],circuitoutputs[device])</f>
        <v>P4</v>
      </c>
      <c r="J356">
        <f>_xlfn.XLOOKUP(Table2[[#This Row],[set1]],circuitoutputs[circuit],circuitoutputs[output])</f>
        <v>0</v>
      </c>
      <c r="K356" t="s">
        <v>495</v>
      </c>
    </row>
    <row r="357" spans="1:11" hidden="1" x14ac:dyDescent="0.25">
      <c r="A357" t="s">
        <v>125</v>
      </c>
      <c r="B357" t="s">
        <v>192</v>
      </c>
      <c r="C357" cm="1">
        <f t="array" ref="C357">_xlfn.XLOOKUP(1,(LightSpec[Location]=Table2[[#This Row],[lookup Room]]) * (LightSpec[DiagNo]=Table2[[#This Row],[lookup Device]]), LightSpec[startinput])</f>
        <v>0</v>
      </c>
      <c r="D357" t="s">
        <v>446</v>
      </c>
      <c r="E357" t="s">
        <v>503</v>
      </c>
      <c r="F357" t="str" cm="1">
        <f t="array" aca="1" ref="F357" ca="1">_xlfn.LET(
  _xlpm.txt, _xlfn.XLOOKUP(1,(LightSpec[Location]=Table2[[#This Row],[lookup Room]]) * (LightSpec[DiagNo]=Table2[[#This Row],[lookup Device]]),LightSpec[From]),
  _xlpm.n, LEN(_xlpm.txt),
  _xlpm.pos, MATCH(FALSE, ISNUMBER(MID(_xlpm.txt, ROW(INDIRECT("2:" &amp; _xlpm.n)), 1)*1), 0),
  LEFT(_xlpm.txt, _xlpm.pos)
)</f>
        <v>D7</v>
      </c>
      <c r="G357">
        <f>_xlfn.XLOOKUP(Table2[[#This Row],[Trigger]],SwitchButtons[switch],SwitchButtons[input])+Table2[[#This Row],[start]]</f>
        <v>1</v>
      </c>
      <c r="H357" t="s">
        <v>561</v>
      </c>
      <c r="I357" t="str">
        <f>_xlfn.XLOOKUP(Table2[[#This Row],[set1]],circuitoutputs[circuit],circuitoutputs[device])</f>
        <v>D9</v>
      </c>
      <c r="J357">
        <f>_xlfn.XLOOKUP(Table2[[#This Row],[set1]],circuitoutputs[circuit],circuitoutputs[output])</f>
        <v>1</v>
      </c>
      <c r="K357" t="s">
        <v>495</v>
      </c>
    </row>
    <row r="358" spans="1:11" hidden="1" x14ac:dyDescent="0.25">
      <c r="A358" t="s">
        <v>125</v>
      </c>
      <c r="B358" t="s">
        <v>192</v>
      </c>
      <c r="C358" cm="1">
        <f t="array" ref="C358">_xlfn.XLOOKUP(1,(LightSpec[Location]=Table2[[#This Row],[lookup Room]]) * (LightSpec[DiagNo]=Table2[[#This Row],[lookup Device]]), LightSpec[startinput])</f>
        <v>0</v>
      </c>
      <c r="D358" t="s">
        <v>446</v>
      </c>
      <c r="E358" t="s">
        <v>503</v>
      </c>
      <c r="F358" t="str" cm="1">
        <f t="array" aca="1" ref="F358" ca="1">_xlfn.LET(
  _xlpm.txt, _xlfn.XLOOKUP(1,(LightSpec[Location]=Table2[[#This Row],[lookup Room]]) * (LightSpec[DiagNo]=Table2[[#This Row],[lookup Device]]),LightSpec[From]),
  _xlpm.n, LEN(_xlpm.txt),
  _xlpm.pos, MATCH(FALSE, ISNUMBER(MID(_xlpm.txt, ROW(INDIRECT("2:" &amp; _xlpm.n)), 1)*1), 0),
  LEFT(_xlpm.txt, _xlpm.pos)
)</f>
        <v>D7</v>
      </c>
      <c r="G358">
        <f>_xlfn.XLOOKUP(Table2[[#This Row],[Trigger]],SwitchButtons[switch],SwitchButtons[input])+Table2[[#This Row],[start]]</f>
        <v>1</v>
      </c>
      <c r="H358" t="s">
        <v>525</v>
      </c>
      <c r="I358" t="str">
        <f>_xlfn.XLOOKUP(Table2[[#This Row],[set1]],circuitoutputs[circuit],circuitoutputs[device])</f>
        <v>D10</v>
      </c>
      <c r="J358">
        <f>_xlfn.XLOOKUP(Table2[[#This Row],[set1]],circuitoutputs[circuit],circuitoutputs[output])</f>
        <v>0</v>
      </c>
      <c r="K358" t="s">
        <v>495</v>
      </c>
    </row>
    <row r="359" spans="1:11" hidden="1" x14ac:dyDescent="0.25">
      <c r="A359" t="s">
        <v>125</v>
      </c>
      <c r="B359" t="s">
        <v>193</v>
      </c>
      <c r="C359" cm="1">
        <f t="array" ref="C359">_xlfn.XLOOKUP(1,(LightSpec[Location]=Table2[[#This Row],[lookup Room]]) * (LightSpec[DiagNo]=Table2[[#This Row],[lookup Device]]), LightSpec[startinput])</f>
        <v>0</v>
      </c>
      <c r="D359" t="s">
        <v>447</v>
      </c>
      <c r="E359" t="s">
        <v>500</v>
      </c>
      <c r="F359" t="str" cm="1">
        <f t="array" aca="1" ref="F359" ca="1">_xlfn.LET(
  _xlpm.txt, _xlfn.XLOOKUP(1,(LightSpec[Location]=Table2[[#This Row],[lookup Room]]) * (LightSpec[DiagNo]=Table2[[#This Row],[lookup Device]]),LightSpec[From]),
  _xlpm.n, LEN(_xlpm.txt),
  _xlpm.pos, MATCH(FALSE, ISNUMBER(MID(_xlpm.txt, ROW(INDIRECT("2:" &amp; _xlpm.n)), 1)*1), 0),
  LEFT(_xlpm.txt, _xlpm.pos)
)</f>
        <v>D8</v>
      </c>
      <c r="G359">
        <f>_xlfn.XLOOKUP(Table2[[#This Row],[Trigger]],SwitchButtons[switch],SwitchButtons[input])+Table2[[#This Row],[start]]</f>
        <v>2</v>
      </c>
      <c r="H359" t="s">
        <v>528</v>
      </c>
      <c r="I359" t="str">
        <f>_xlfn.XLOOKUP(Table2[[#This Row],[set1]],circuitoutputs[circuit],circuitoutputs[device])</f>
        <v>D13</v>
      </c>
      <c r="J359">
        <f>_xlfn.XLOOKUP(Table2[[#This Row],[set1]],circuitoutputs[circuit],circuitoutputs[output])</f>
        <v>0</v>
      </c>
      <c r="K359" t="s">
        <v>494</v>
      </c>
    </row>
    <row r="360" spans="1:11" hidden="1" x14ac:dyDescent="0.25">
      <c r="A360" t="s">
        <v>125</v>
      </c>
      <c r="B360" t="s">
        <v>193</v>
      </c>
      <c r="C360" cm="1">
        <f t="array" ref="C360">_xlfn.XLOOKUP(1,(LightSpec[Location]=Table2[[#This Row],[lookup Room]]) * (LightSpec[DiagNo]=Table2[[#This Row],[lookup Device]]), LightSpec[startinput])</f>
        <v>0</v>
      </c>
      <c r="D360" t="s">
        <v>447</v>
      </c>
      <c r="E360" t="s">
        <v>500</v>
      </c>
      <c r="F360" t="str" cm="1">
        <f t="array" aca="1" ref="F360" ca="1">_xlfn.LET(
  _xlpm.txt, _xlfn.XLOOKUP(1,(LightSpec[Location]=Table2[[#This Row],[lookup Room]]) * (LightSpec[DiagNo]=Table2[[#This Row],[lookup Device]]),LightSpec[From]),
  _xlpm.n, LEN(_xlpm.txt),
  _xlpm.pos, MATCH(FALSE, ISNUMBER(MID(_xlpm.txt, ROW(INDIRECT("2:" &amp; _xlpm.n)), 1)*1), 0),
  LEFT(_xlpm.txt, _xlpm.pos)
)</f>
        <v>D8</v>
      </c>
      <c r="G360">
        <f>_xlfn.XLOOKUP(Table2[[#This Row],[Trigger]],SwitchButtons[switch],SwitchButtons[input])+Table2[[#This Row],[start]]</f>
        <v>2</v>
      </c>
      <c r="H360" t="s">
        <v>550</v>
      </c>
      <c r="I360" t="str">
        <f>_xlfn.XLOOKUP(Table2[[#This Row],[set1]],circuitoutputs[circuit],circuitoutputs[device])</f>
        <v>P4</v>
      </c>
      <c r="J360">
        <f>_xlfn.XLOOKUP(Table2[[#This Row],[set1]],circuitoutputs[circuit],circuitoutputs[output])</f>
        <v>1</v>
      </c>
      <c r="K360" t="s">
        <v>494</v>
      </c>
    </row>
    <row r="361" spans="1:11" hidden="1" x14ac:dyDescent="0.25">
      <c r="A361" t="s">
        <v>125</v>
      </c>
      <c r="B361" t="s">
        <v>193</v>
      </c>
      <c r="C361" cm="1">
        <f t="array" ref="C361">_xlfn.XLOOKUP(1,(LightSpec[Location]=Table2[[#This Row],[lookup Room]]) * (LightSpec[DiagNo]=Table2[[#This Row],[lookup Device]]), LightSpec[startinput])</f>
        <v>0</v>
      </c>
      <c r="D361" t="s">
        <v>447</v>
      </c>
      <c r="E361" t="s">
        <v>500</v>
      </c>
      <c r="F361" t="str" cm="1">
        <f t="array" aca="1" ref="F361" ca="1">_xlfn.LET(
  _xlpm.txt, _xlfn.XLOOKUP(1,(LightSpec[Location]=Table2[[#This Row],[lookup Room]]) * (LightSpec[DiagNo]=Table2[[#This Row],[lookup Device]]),LightSpec[From]),
  _xlpm.n, LEN(_xlpm.txt),
  _xlpm.pos, MATCH(FALSE, ISNUMBER(MID(_xlpm.txt, ROW(INDIRECT("2:" &amp; _xlpm.n)), 1)*1), 0),
  LEFT(_xlpm.txt, _xlpm.pos)
)</f>
        <v>D8</v>
      </c>
      <c r="G361">
        <f>_xlfn.XLOOKUP(Table2[[#This Row],[Trigger]],SwitchButtons[switch],SwitchButtons[input])+Table2[[#This Row],[start]]</f>
        <v>2</v>
      </c>
      <c r="H361" t="s">
        <v>580</v>
      </c>
      <c r="I361" t="str">
        <f>_xlfn.XLOOKUP(Table2[[#This Row],[set1]],circuitoutputs[circuit],circuitoutputs[device])</f>
        <v>P4</v>
      </c>
      <c r="J361">
        <f>_xlfn.XLOOKUP(Table2[[#This Row],[set1]],circuitoutputs[circuit],circuitoutputs[output])</f>
        <v>2</v>
      </c>
      <c r="K361" t="s">
        <v>494</v>
      </c>
    </row>
    <row r="362" spans="1:11" hidden="1" x14ac:dyDescent="0.25">
      <c r="A362" t="s">
        <v>125</v>
      </c>
      <c r="B362" t="s">
        <v>193</v>
      </c>
      <c r="C362" cm="1">
        <f t="array" ref="C362">_xlfn.XLOOKUP(1,(LightSpec[Location]=Table2[[#This Row],[lookup Room]]) * (LightSpec[DiagNo]=Table2[[#This Row],[lookup Device]]), LightSpec[startinput])</f>
        <v>0</v>
      </c>
      <c r="D362" t="s">
        <v>447</v>
      </c>
      <c r="E362" t="s">
        <v>500</v>
      </c>
      <c r="F362" t="str" cm="1">
        <f t="array" aca="1" ref="F362" ca="1">_xlfn.LET(
  _xlpm.txt, _xlfn.XLOOKUP(1,(LightSpec[Location]=Table2[[#This Row],[lookup Room]]) * (LightSpec[DiagNo]=Table2[[#This Row],[lookup Device]]),LightSpec[From]),
  _xlpm.n, LEN(_xlpm.txt),
  _xlpm.pos, MATCH(FALSE, ISNUMBER(MID(_xlpm.txt, ROW(INDIRECT("2:" &amp; _xlpm.n)), 1)*1), 0),
  LEFT(_xlpm.txt, _xlpm.pos)
)</f>
        <v>D8</v>
      </c>
      <c r="G362">
        <f>_xlfn.XLOOKUP(Table2[[#This Row],[Trigger]],SwitchButtons[switch],SwitchButtons[input])+Table2[[#This Row],[start]]</f>
        <v>2</v>
      </c>
      <c r="H362" t="s">
        <v>603</v>
      </c>
      <c r="I362" t="str">
        <f>_xlfn.XLOOKUP(Table2[[#This Row],[set1]],circuitoutputs[circuit],circuitoutputs[device])</f>
        <v>D13</v>
      </c>
      <c r="J362">
        <f>_xlfn.XLOOKUP(Table2[[#This Row],[set1]],circuitoutputs[circuit],circuitoutputs[output])</f>
        <v>1</v>
      </c>
      <c r="K362" t="s">
        <v>494</v>
      </c>
    </row>
    <row r="363" spans="1:11" hidden="1" x14ac:dyDescent="0.25">
      <c r="A363" t="s">
        <v>125</v>
      </c>
      <c r="B363" t="s">
        <v>193</v>
      </c>
      <c r="C363" cm="1">
        <f t="array" ref="C363">_xlfn.XLOOKUP(1,(LightSpec[Location]=Table2[[#This Row],[lookup Room]]) * (LightSpec[DiagNo]=Table2[[#This Row],[lookup Device]]), LightSpec[startinput])</f>
        <v>0</v>
      </c>
      <c r="D363" t="s">
        <v>447</v>
      </c>
      <c r="E363" t="s">
        <v>503</v>
      </c>
      <c r="F363" t="str" cm="1">
        <f t="array" aca="1" ref="F363" ca="1">_xlfn.LET(
  _xlpm.txt, _xlfn.XLOOKUP(1,(LightSpec[Location]=Table2[[#This Row],[lookup Room]]) * (LightSpec[DiagNo]=Table2[[#This Row],[lookup Device]]),LightSpec[From]),
  _xlpm.n, LEN(_xlpm.txt),
  _xlpm.pos, MATCH(FALSE, ISNUMBER(MID(_xlpm.txt, ROW(INDIRECT("2:" &amp; _xlpm.n)), 1)*1), 0),
  LEFT(_xlpm.txt, _xlpm.pos)
)</f>
        <v>D8</v>
      </c>
      <c r="G363">
        <f>_xlfn.XLOOKUP(Table2[[#This Row],[Trigger]],SwitchButtons[switch],SwitchButtons[input])+Table2[[#This Row],[start]]</f>
        <v>2</v>
      </c>
      <c r="H363" t="s">
        <v>528</v>
      </c>
      <c r="I363" t="str">
        <f>_xlfn.XLOOKUP(Table2[[#This Row],[set1]],circuitoutputs[circuit],circuitoutputs[device])</f>
        <v>D13</v>
      </c>
      <c r="J363">
        <f>_xlfn.XLOOKUP(Table2[[#This Row],[set1]],circuitoutputs[circuit],circuitoutputs[output])</f>
        <v>0</v>
      </c>
      <c r="K363" t="s">
        <v>596</v>
      </c>
    </row>
    <row r="364" spans="1:11" hidden="1" x14ac:dyDescent="0.25">
      <c r="A364" t="s">
        <v>125</v>
      </c>
      <c r="B364" t="s">
        <v>193</v>
      </c>
      <c r="C364" cm="1">
        <f t="array" ref="C364">_xlfn.XLOOKUP(1,(LightSpec[Location]=Table2[[#This Row],[lookup Room]]) * (LightSpec[DiagNo]=Table2[[#This Row],[lookup Device]]), LightSpec[startinput])</f>
        <v>0</v>
      </c>
      <c r="D364" t="s">
        <v>447</v>
      </c>
      <c r="E364" t="s">
        <v>503</v>
      </c>
      <c r="F364" t="str" cm="1">
        <f t="array" aca="1" ref="F364" ca="1">_xlfn.LET(
  _xlpm.txt, _xlfn.XLOOKUP(1,(LightSpec[Location]=Table2[[#This Row],[lookup Room]]) * (LightSpec[DiagNo]=Table2[[#This Row],[lookup Device]]),LightSpec[From]),
  _xlpm.n, LEN(_xlpm.txt),
  _xlpm.pos, MATCH(FALSE, ISNUMBER(MID(_xlpm.txt, ROW(INDIRECT("2:" &amp; _xlpm.n)), 1)*1), 0),
  LEFT(_xlpm.txt, _xlpm.pos)
)</f>
        <v>D8</v>
      </c>
      <c r="G364">
        <f>_xlfn.XLOOKUP(Table2[[#This Row],[Trigger]],SwitchButtons[switch],SwitchButtons[input])+Table2[[#This Row],[start]]</f>
        <v>2</v>
      </c>
      <c r="H364" t="s">
        <v>550</v>
      </c>
      <c r="I364" t="str">
        <f>_xlfn.XLOOKUP(Table2[[#This Row],[set1]],circuitoutputs[circuit],circuitoutputs[device])</f>
        <v>P4</v>
      </c>
      <c r="J364">
        <f>_xlfn.XLOOKUP(Table2[[#This Row],[set1]],circuitoutputs[circuit],circuitoutputs[output])</f>
        <v>1</v>
      </c>
      <c r="K364" t="s">
        <v>596</v>
      </c>
    </row>
    <row r="365" spans="1:11" hidden="1" x14ac:dyDescent="0.25">
      <c r="A365" t="s">
        <v>125</v>
      </c>
      <c r="B365" t="s">
        <v>193</v>
      </c>
      <c r="C365" cm="1">
        <f t="array" ref="C365">_xlfn.XLOOKUP(1,(LightSpec[Location]=Table2[[#This Row],[lookup Room]]) * (LightSpec[DiagNo]=Table2[[#This Row],[lookup Device]]), LightSpec[startinput])</f>
        <v>0</v>
      </c>
      <c r="D365" t="s">
        <v>447</v>
      </c>
      <c r="E365" t="s">
        <v>503</v>
      </c>
      <c r="F365" t="str" cm="1">
        <f t="array" aca="1" ref="F365" ca="1">_xlfn.LET(
  _xlpm.txt, _xlfn.XLOOKUP(1,(LightSpec[Location]=Table2[[#This Row],[lookup Room]]) * (LightSpec[DiagNo]=Table2[[#This Row],[lookup Device]]),LightSpec[From]),
  _xlpm.n, LEN(_xlpm.txt),
  _xlpm.pos, MATCH(FALSE, ISNUMBER(MID(_xlpm.txt, ROW(INDIRECT("2:" &amp; _xlpm.n)), 1)*1), 0),
  LEFT(_xlpm.txt, _xlpm.pos)
)</f>
        <v>D8</v>
      </c>
      <c r="G365">
        <f>_xlfn.XLOOKUP(Table2[[#This Row],[Trigger]],SwitchButtons[switch],SwitchButtons[input])+Table2[[#This Row],[start]]</f>
        <v>2</v>
      </c>
      <c r="H365" t="s">
        <v>580</v>
      </c>
      <c r="I365" t="str">
        <f>_xlfn.XLOOKUP(Table2[[#This Row],[set1]],circuitoutputs[circuit],circuitoutputs[device])</f>
        <v>P4</v>
      </c>
      <c r="J365">
        <f>_xlfn.XLOOKUP(Table2[[#This Row],[set1]],circuitoutputs[circuit],circuitoutputs[output])</f>
        <v>2</v>
      </c>
      <c r="K365" t="s">
        <v>596</v>
      </c>
    </row>
    <row r="366" spans="1:11" hidden="1" x14ac:dyDescent="0.25">
      <c r="A366" t="s">
        <v>125</v>
      </c>
      <c r="B366" t="s">
        <v>193</v>
      </c>
      <c r="C366" cm="1">
        <f t="array" ref="C366">_xlfn.XLOOKUP(1,(LightSpec[Location]=Table2[[#This Row],[lookup Room]]) * (LightSpec[DiagNo]=Table2[[#This Row],[lookup Device]]), LightSpec[startinput])</f>
        <v>0</v>
      </c>
      <c r="D366" t="s">
        <v>447</v>
      </c>
      <c r="E366" t="s">
        <v>503</v>
      </c>
      <c r="F366" t="str" cm="1">
        <f t="array" aca="1" ref="F366" ca="1">_xlfn.LET(
  _xlpm.txt, _xlfn.XLOOKUP(1,(LightSpec[Location]=Table2[[#This Row],[lookup Room]]) * (LightSpec[DiagNo]=Table2[[#This Row],[lookup Device]]),LightSpec[From]),
  _xlpm.n, LEN(_xlpm.txt),
  _xlpm.pos, MATCH(FALSE, ISNUMBER(MID(_xlpm.txt, ROW(INDIRECT("2:" &amp; _xlpm.n)), 1)*1), 0),
  LEFT(_xlpm.txt, _xlpm.pos)
)</f>
        <v>D8</v>
      </c>
      <c r="G366">
        <f>_xlfn.XLOOKUP(Table2[[#This Row],[Trigger]],SwitchButtons[switch],SwitchButtons[input])+Table2[[#This Row],[start]]</f>
        <v>2</v>
      </c>
      <c r="H366" t="s">
        <v>603</v>
      </c>
      <c r="I366" t="str">
        <f>_xlfn.XLOOKUP(Table2[[#This Row],[set1]],circuitoutputs[circuit],circuitoutputs[device])</f>
        <v>D13</v>
      </c>
      <c r="J366">
        <f>_xlfn.XLOOKUP(Table2[[#This Row],[set1]],circuitoutputs[circuit],circuitoutputs[output])</f>
        <v>1</v>
      </c>
      <c r="K366" t="s">
        <v>596</v>
      </c>
    </row>
    <row r="367" spans="1:11" hidden="1" x14ac:dyDescent="0.25">
      <c r="A367" t="s">
        <v>125</v>
      </c>
      <c r="B367" t="s">
        <v>193</v>
      </c>
      <c r="C367" cm="1">
        <f t="array" ref="C367">_xlfn.XLOOKUP(1,(LightSpec[Location]=Table2[[#This Row],[lookup Room]]) * (LightSpec[DiagNo]=Table2[[#This Row],[lookup Device]]), LightSpec[startinput])</f>
        <v>0</v>
      </c>
      <c r="D367" t="s">
        <v>448</v>
      </c>
      <c r="E367" t="s">
        <v>500</v>
      </c>
      <c r="F367" t="str" cm="1">
        <f t="array" aca="1" ref="F367" ca="1">_xlfn.LET(
  _xlpm.txt, _xlfn.XLOOKUP(1,(LightSpec[Location]=Table2[[#This Row],[lookup Room]]) * (LightSpec[DiagNo]=Table2[[#This Row],[lookup Device]]),LightSpec[From]),
  _xlpm.n, LEN(_xlpm.txt),
  _xlpm.pos, MATCH(FALSE, ISNUMBER(MID(_xlpm.txt, ROW(INDIRECT("2:" &amp; _xlpm.n)), 1)*1), 0),
  LEFT(_xlpm.txt, _xlpm.pos)
)</f>
        <v>D8</v>
      </c>
      <c r="G367">
        <f>_xlfn.XLOOKUP(Table2[[#This Row],[Trigger]],SwitchButtons[switch],SwitchButtons[input])+Table2[[#This Row],[start]]</f>
        <v>3</v>
      </c>
      <c r="H367" t="s">
        <v>528</v>
      </c>
      <c r="I367" t="str">
        <f>_xlfn.XLOOKUP(Table2[[#This Row],[set1]],circuitoutputs[circuit],circuitoutputs[device])</f>
        <v>D13</v>
      </c>
      <c r="J367">
        <f>_xlfn.XLOOKUP(Table2[[#This Row],[set1]],circuitoutputs[circuit],circuitoutputs[output])</f>
        <v>0</v>
      </c>
      <c r="K367" t="s">
        <v>495</v>
      </c>
    </row>
    <row r="368" spans="1:11" hidden="1" x14ac:dyDescent="0.25">
      <c r="A368" t="s">
        <v>125</v>
      </c>
      <c r="B368" t="s">
        <v>193</v>
      </c>
      <c r="C368" cm="1">
        <f t="array" ref="C368">_xlfn.XLOOKUP(1,(LightSpec[Location]=Table2[[#This Row],[lookup Room]]) * (LightSpec[DiagNo]=Table2[[#This Row],[lookup Device]]), LightSpec[startinput])</f>
        <v>0</v>
      </c>
      <c r="D368" t="s">
        <v>448</v>
      </c>
      <c r="E368" t="s">
        <v>500</v>
      </c>
      <c r="F368" t="str" cm="1">
        <f t="array" aca="1" ref="F368" ca="1">_xlfn.LET(
  _xlpm.txt, _xlfn.XLOOKUP(1,(LightSpec[Location]=Table2[[#This Row],[lookup Room]]) * (LightSpec[DiagNo]=Table2[[#This Row],[lookup Device]]),LightSpec[From]),
  _xlpm.n, LEN(_xlpm.txt),
  _xlpm.pos, MATCH(FALSE, ISNUMBER(MID(_xlpm.txt, ROW(INDIRECT("2:" &amp; _xlpm.n)), 1)*1), 0),
  LEFT(_xlpm.txt, _xlpm.pos)
)</f>
        <v>D8</v>
      </c>
      <c r="G368">
        <f>_xlfn.XLOOKUP(Table2[[#This Row],[Trigger]],SwitchButtons[switch],SwitchButtons[input])+Table2[[#This Row],[start]]</f>
        <v>3</v>
      </c>
      <c r="H368" t="s">
        <v>550</v>
      </c>
      <c r="I368" t="str">
        <f>_xlfn.XLOOKUP(Table2[[#This Row],[set1]],circuitoutputs[circuit],circuitoutputs[device])</f>
        <v>P4</v>
      </c>
      <c r="J368">
        <f>_xlfn.XLOOKUP(Table2[[#This Row],[set1]],circuitoutputs[circuit],circuitoutputs[output])</f>
        <v>1</v>
      </c>
      <c r="K368" t="s">
        <v>495</v>
      </c>
    </row>
    <row r="369" spans="1:11" hidden="1" x14ac:dyDescent="0.25">
      <c r="A369" t="s">
        <v>125</v>
      </c>
      <c r="B369" t="s">
        <v>193</v>
      </c>
      <c r="C369" cm="1">
        <f t="array" ref="C369">_xlfn.XLOOKUP(1,(LightSpec[Location]=Table2[[#This Row],[lookup Room]]) * (LightSpec[DiagNo]=Table2[[#This Row],[lookup Device]]), LightSpec[startinput])</f>
        <v>0</v>
      </c>
      <c r="D369" t="s">
        <v>448</v>
      </c>
      <c r="E369" t="s">
        <v>500</v>
      </c>
      <c r="F369" t="str" cm="1">
        <f t="array" aca="1" ref="F369" ca="1">_xlfn.LET(
  _xlpm.txt, _xlfn.XLOOKUP(1,(LightSpec[Location]=Table2[[#This Row],[lookup Room]]) * (LightSpec[DiagNo]=Table2[[#This Row],[lookup Device]]),LightSpec[From]),
  _xlpm.n, LEN(_xlpm.txt),
  _xlpm.pos, MATCH(FALSE, ISNUMBER(MID(_xlpm.txt, ROW(INDIRECT("2:" &amp; _xlpm.n)), 1)*1), 0),
  LEFT(_xlpm.txt, _xlpm.pos)
)</f>
        <v>D8</v>
      </c>
      <c r="G369">
        <f>_xlfn.XLOOKUP(Table2[[#This Row],[Trigger]],SwitchButtons[switch],SwitchButtons[input])+Table2[[#This Row],[start]]</f>
        <v>3</v>
      </c>
      <c r="H369" t="s">
        <v>580</v>
      </c>
      <c r="I369" t="str">
        <f>_xlfn.XLOOKUP(Table2[[#This Row],[set1]],circuitoutputs[circuit],circuitoutputs[device])</f>
        <v>P4</v>
      </c>
      <c r="J369">
        <f>_xlfn.XLOOKUP(Table2[[#This Row],[set1]],circuitoutputs[circuit],circuitoutputs[output])</f>
        <v>2</v>
      </c>
      <c r="K369" t="s">
        <v>495</v>
      </c>
    </row>
    <row r="370" spans="1:11" hidden="1" x14ac:dyDescent="0.25">
      <c r="A370" t="s">
        <v>125</v>
      </c>
      <c r="B370" t="s">
        <v>193</v>
      </c>
      <c r="C370" cm="1">
        <f t="array" ref="C370">_xlfn.XLOOKUP(1,(LightSpec[Location]=Table2[[#This Row],[lookup Room]]) * (LightSpec[DiagNo]=Table2[[#This Row],[lookup Device]]), LightSpec[startinput])</f>
        <v>0</v>
      </c>
      <c r="D370" t="s">
        <v>448</v>
      </c>
      <c r="E370" t="s">
        <v>500</v>
      </c>
      <c r="F370" t="str" cm="1">
        <f t="array" aca="1" ref="F370" ca="1">_xlfn.LET(
  _xlpm.txt, _xlfn.XLOOKUP(1,(LightSpec[Location]=Table2[[#This Row],[lookup Room]]) * (LightSpec[DiagNo]=Table2[[#This Row],[lookup Device]]),LightSpec[From]),
  _xlpm.n, LEN(_xlpm.txt),
  _xlpm.pos, MATCH(FALSE, ISNUMBER(MID(_xlpm.txt, ROW(INDIRECT("2:" &amp; _xlpm.n)), 1)*1), 0),
  LEFT(_xlpm.txt, _xlpm.pos)
)</f>
        <v>D8</v>
      </c>
      <c r="G370">
        <f>_xlfn.XLOOKUP(Table2[[#This Row],[Trigger]],SwitchButtons[switch],SwitchButtons[input])+Table2[[#This Row],[start]]</f>
        <v>3</v>
      </c>
      <c r="H370" t="s">
        <v>603</v>
      </c>
      <c r="I370" t="str">
        <f>_xlfn.XLOOKUP(Table2[[#This Row],[set1]],circuitoutputs[circuit],circuitoutputs[device])</f>
        <v>D13</v>
      </c>
      <c r="J370">
        <f>_xlfn.XLOOKUP(Table2[[#This Row],[set1]],circuitoutputs[circuit],circuitoutputs[output])</f>
        <v>1</v>
      </c>
      <c r="K370" t="s">
        <v>495</v>
      </c>
    </row>
    <row r="371" spans="1:11" hidden="1" x14ac:dyDescent="0.25">
      <c r="A371" t="s">
        <v>125</v>
      </c>
      <c r="B371" t="s">
        <v>193</v>
      </c>
      <c r="C371" cm="1">
        <f t="array" ref="C371">_xlfn.XLOOKUP(1,(LightSpec[Location]=Table2[[#This Row],[lookup Room]]) * (LightSpec[DiagNo]=Table2[[#This Row],[lookup Device]]), LightSpec[startinput])</f>
        <v>0</v>
      </c>
      <c r="D371" t="s">
        <v>445</v>
      </c>
      <c r="E371" t="s">
        <v>500</v>
      </c>
      <c r="F371" t="str" cm="1">
        <f t="array" aca="1" ref="F371" ca="1">_xlfn.LET(
  _xlpm.txt, _xlfn.XLOOKUP(1,(LightSpec[Location]=Table2[[#This Row],[lookup Room]]) * (LightSpec[DiagNo]=Table2[[#This Row],[lookup Device]]),LightSpec[From]),
  _xlpm.n, LEN(_xlpm.txt),
  _xlpm.pos, MATCH(FALSE, ISNUMBER(MID(_xlpm.txt, ROW(INDIRECT("2:" &amp; _xlpm.n)), 1)*1), 0),
  LEFT(_xlpm.txt, _xlpm.pos)
)</f>
        <v>D8</v>
      </c>
      <c r="G371">
        <f>_xlfn.XLOOKUP(Table2[[#This Row],[Trigger]],SwitchButtons[switch],SwitchButtons[input])+Table2[[#This Row],[start]]</f>
        <v>0</v>
      </c>
      <c r="H371" t="s">
        <v>523</v>
      </c>
      <c r="I371" t="str">
        <f>_xlfn.XLOOKUP(Table2[[#This Row],[set1]],circuitoutputs[circuit],circuitoutputs[device])</f>
        <v>D8</v>
      </c>
      <c r="J371">
        <f>_xlfn.XLOOKUP(Table2[[#This Row],[set1]],circuitoutputs[circuit],circuitoutputs[output])</f>
        <v>0</v>
      </c>
      <c r="K371" t="s">
        <v>494</v>
      </c>
    </row>
    <row r="372" spans="1:11" hidden="1" x14ac:dyDescent="0.25">
      <c r="A372" t="s">
        <v>125</v>
      </c>
      <c r="B372" t="s">
        <v>193</v>
      </c>
      <c r="C372" cm="1">
        <f t="array" ref="C372">_xlfn.XLOOKUP(1,(LightSpec[Location]=Table2[[#This Row],[lookup Room]]) * (LightSpec[DiagNo]=Table2[[#This Row],[lookup Device]]), LightSpec[startinput])</f>
        <v>0</v>
      </c>
      <c r="D372" t="s">
        <v>446</v>
      </c>
      <c r="E372" t="s">
        <v>500</v>
      </c>
      <c r="F372" t="str" cm="1">
        <f t="array" aca="1" ref="F372" ca="1">_xlfn.LET(
  _xlpm.txt, _xlfn.XLOOKUP(1,(LightSpec[Location]=Table2[[#This Row],[lookup Room]]) * (LightSpec[DiagNo]=Table2[[#This Row],[lookup Device]]),LightSpec[From]),
  _xlpm.n, LEN(_xlpm.txt),
  _xlpm.pos, MATCH(FALSE, ISNUMBER(MID(_xlpm.txt, ROW(INDIRECT("2:" &amp; _xlpm.n)), 1)*1), 0),
  LEFT(_xlpm.txt, _xlpm.pos)
)</f>
        <v>D8</v>
      </c>
      <c r="G372">
        <f>_xlfn.XLOOKUP(Table2[[#This Row],[Trigger]],SwitchButtons[switch],SwitchButtons[input])+Table2[[#This Row],[start]]</f>
        <v>1</v>
      </c>
      <c r="H372" t="s">
        <v>529</v>
      </c>
      <c r="I372" t="str">
        <f>_xlfn.XLOOKUP(Table2[[#This Row],[set1]],circuitoutputs[circuit],circuitoutputs[device])</f>
        <v>D14</v>
      </c>
      <c r="J372">
        <f>_xlfn.XLOOKUP(Table2[[#This Row],[set1]],circuitoutputs[circuit],circuitoutputs[output])</f>
        <v>0</v>
      </c>
      <c r="K372" t="s">
        <v>494</v>
      </c>
    </row>
    <row r="373" spans="1:11" hidden="1" x14ac:dyDescent="0.25">
      <c r="A373" t="s">
        <v>123</v>
      </c>
      <c r="B373" t="s">
        <v>251</v>
      </c>
      <c r="C373" cm="1">
        <f t="array" ref="C373">_xlfn.XLOOKUP(1,(LightSpec[Location]=Table2[[#This Row],[lookup Room]]) * (LightSpec[DiagNo]=Table2[[#This Row],[lookup Device]]), LightSpec[startinput])</f>
        <v>0</v>
      </c>
      <c r="D373" t="s">
        <v>508</v>
      </c>
      <c r="E373" t="s">
        <v>588</v>
      </c>
      <c r="F373" t="str" cm="1">
        <f t="array" aca="1" ref="F373" ca="1">_xlfn.LET(
  _xlpm.txt, _xlfn.XLOOKUP(1,(LightSpec[Location]=Table2[[#This Row],[lookup Room]]) * (LightSpec[DiagNo]=Table2[[#This Row],[lookup Device]]),LightSpec[From]),
  _xlpm.n, LEN(_xlpm.txt),
  _xlpm.pos, MATCH(FALSE, ISNUMBER(MID(_xlpm.txt, ROW(INDIRECT("2:" &amp; _xlpm.n)), 1)*1), 0),
  LEFT(_xlpm.txt, _xlpm.pos)
)</f>
        <v>P1</v>
      </c>
      <c r="G373">
        <f>_xlfn.XLOOKUP(Table2[[#This Row],[Trigger]],SwitchButtons[switch],SwitchButtons[input])+Table2[[#This Row],[start]]</f>
        <v>3</v>
      </c>
      <c r="H373" t="s">
        <v>528</v>
      </c>
      <c r="I373" t="str">
        <f>_xlfn.XLOOKUP(Table2[[#This Row],[set1]],circuitoutputs[circuit],circuitoutputs[device])</f>
        <v>D13</v>
      </c>
      <c r="J373">
        <f>_xlfn.XLOOKUP(Table2[[#This Row],[set1]],circuitoutputs[circuit],circuitoutputs[output])</f>
        <v>0</v>
      </c>
      <c r="K373" t="s">
        <v>494</v>
      </c>
    </row>
    <row r="374" spans="1:11" hidden="1" x14ac:dyDescent="0.25">
      <c r="A374" t="s">
        <v>123</v>
      </c>
      <c r="B374" t="s">
        <v>251</v>
      </c>
      <c r="C374" cm="1">
        <f t="array" ref="C374">_xlfn.XLOOKUP(1,(LightSpec[Location]=Table2[[#This Row],[lookup Room]]) * (LightSpec[DiagNo]=Table2[[#This Row],[lookup Device]]), LightSpec[startinput])</f>
        <v>0</v>
      </c>
      <c r="D374" t="s">
        <v>508</v>
      </c>
      <c r="E374" t="s">
        <v>588</v>
      </c>
      <c r="F374" t="str" cm="1">
        <f t="array" aca="1" ref="F374" ca="1">_xlfn.LET(
  _xlpm.txt, _xlfn.XLOOKUP(1,(LightSpec[Location]=Table2[[#This Row],[lookup Room]]) * (LightSpec[DiagNo]=Table2[[#This Row],[lookup Device]]),LightSpec[From]),
  _xlpm.n, LEN(_xlpm.txt),
  _xlpm.pos, MATCH(FALSE, ISNUMBER(MID(_xlpm.txt, ROW(INDIRECT("2:" &amp; _xlpm.n)), 1)*1), 0),
  LEFT(_xlpm.txt, _xlpm.pos)
)</f>
        <v>P1</v>
      </c>
      <c r="G374">
        <f>_xlfn.XLOOKUP(Table2[[#This Row],[Trigger]],SwitchButtons[switch],SwitchButtons[input])+Table2[[#This Row],[start]]</f>
        <v>3</v>
      </c>
      <c r="H374" t="s">
        <v>550</v>
      </c>
      <c r="I374" t="str">
        <f>_xlfn.XLOOKUP(Table2[[#This Row],[set1]],circuitoutputs[circuit],circuitoutputs[device])</f>
        <v>P4</v>
      </c>
      <c r="J374">
        <f>_xlfn.XLOOKUP(Table2[[#This Row],[set1]],circuitoutputs[circuit],circuitoutputs[output])</f>
        <v>1</v>
      </c>
      <c r="K374" t="s">
        <v>494</v>
      </c>
    </row>
    <row r="375" spans="1:11" hidden="1" x14ac:dyDescent="0.25">
      <c r="A375" t="s">
        <v>123</v>
      </c>
      <c r="B375" t="s">
        <v>251</v>
      </c>
      <c r="C375" cm="1">
        <f t="array" ref="C375">_xlfn.XLOOKUP(1,(LightSpec[Location]=Table2[[#This Row],[lookup Room]]) * (LightSpec[DiagNo]=Table2[[#This Row],[lookup Device]]), LightSpec[startinput])</f>
        <v>0</v>
      </c>
      <c r="D375" t="s">
        <v>508</v>
      </c>
      <c r="E375" t="s">
        <v>588</v>
      </c>
      <c r="F375" t="str" cm="1">
        <f t="array" aca="1" ref="F375" ca="1">_xlfn.LET(
  _xlpm.txt, _xlfn.XLOOKUP(1,(LightSpec[Location]=Table2[[#This Row],[lookup Room]]) * (LightSpec[DiagNo]=Table2[[#This Row],[lookup Device]]),LightSpec[From]),
  _xlpm.n, LEN(_xlpm.txt),
  _xlpm.pos, MATCH(FALSE, ISNUMBER(MID(_xlpm.txt, ROW(INDIRECT("2:" &amp; _xlpm.n)), 1)*1), 0),
  LEFT(_xlpm.txt, _xlpm.pos)
)</f>
        <v>P1</v>
      </c>
      <c r="G375">
        <f>_xlfn.XLOOKUP(Table2[[#This Row],[Trigger]],SwitchButtons[switch],SwitchButtons[input])+Table2[[#This Row],[start]]</f>
        <v>3</v>
      </c>
      <c r="H375" t="s">
        <v>580</v>
      </c>
      <c r="I375" t="str">
        <f>_xlfn.XLOOKUP(Table2[[#This Row],[set1]],circuitoutputs[circuit],circuitoutputs[device])</f>
        <v>P4</v>
      </c>
      <c r="J375">
        <f>_xlfn.XLOOKUP(Table2[[#This Row],[set1]],circuitoutputs[circuit],circuitoutputs[output])</f>
        <v>2</v>
      </c>
      <c r="K375" t="s">
        <v>494</v>
      </c>
    </row>
    <row r="376" spans="1:11" hidden="1" x14ac:dyDescent="0.25">
      <c r="A376" t="s">
        <v>123</v>
      </c>
      <c r="B376" t="s">
        <v>251</v>
      </c>
      <c r="C376" cm="1">
        <f t="array" ref="C376">_xlfn.XLOOKUP(1,(LightSpec[Location]=Table2[[#This Row],[lookup Room]]) * (LightSpec[DiagNo]=Table2[[#This Row],[lookup Device]]), LightSpec[startinput])</f>
        <v>0</v>
      </c>
      <c r="D376" t="s">
        <v>508</v>
      </c>
      <c r="E376" t="s">
        <v>588</v>
      </c>
      <c r="F376" t="str" cm="1">
        <f t="array" aca="1" ref="F376" ca="1">_xlfn.LET(
  _xlpm.txt, _xlfn.XLOOKUP(1,(LightSpec[Location]=Table2[[#This Row],[lookup Room]]) * (LightSpec[DiagNo]=Table2[[#This Row],[lookup Device]]),LightSpec[From]),
  _xlpm.n, LEN(_xlpm.txt),
  _xlpm.pos, MATCH(FALSE, ISNUMBER(MID(_xlpm.txt, ROW(INDIRECT("2:" &amp; _xlpm.n)), 1)*1), 0),
  LEFT(_xlpm.txt, _xlpm.pos)
)</f>
        <v>P1</v>
      </c>
      <c r="G376">
        <f>_xlfn.XLOOKUP(Table2[[#This Row],[Trigger]],SwitchButtons[switch],SwitchButtons[input])+Table2[[#This Row],[start]]</f>
        <v>3</v>
      </c>
      <c r="H376" t="s">
        <v>603</v>
      </c>
      <c r="I376" t="str">
        <f>_xlfn.XLOOKUP(Table2[[#This Row],[set1]],circuitoutputs[circuit],circuitoutputs[device])</f>
        <v>D13</v>
      </c>
      <c r="J376">
        <f>_xlfn.XLOOKUP(Table2[[#This Row],[set1]],circuitoutputs[circuit],circuitoutputs[output])</f>
        <v>1</v>
      </c>
      <c r="K376" t="s">
        <v>494</v>
      </c>
    </row>
    <row r="377" spans="1:11" hidden="1" x14ac:dyDescent="0.25">
      <c r="A377" t="s">
        <v>123</v>
      </c>
      <c r="B377" t="s">
        <v>251</v>
      </c>
      <c r="C377" cm="1">
        <f t="array" ref="C377">_xlfn.XLOOKUP(1,(LightSpec[Location]=Table2[[#This Row],[lookup Room]]) * (LightSpec[DiagNo]=Table2[[#This Row],[lookup Device]]), LightSpec[startinput])</f>
        <v>0</v>
      </c>
      <c r="D377" t="s">
        <v>508</v>
      </c>
      <c r="E377" t="s">
        <v>589</v>
      </c>
      <c r="F377" t="str" cm="1">
        <f t="array" aca="1" ref="F377" ca="1">_xlfn.LET(
  _xlpm.txt, _xlfn.XLOOKUP(1,(LightSpec[Location]=Table2[[#This Row],[lookup Room]]) * (LightSpec[DiagNo]=Table2[[#This Row],[lookup Device]]),LightSpec[From]),
  _xlpm.n, LEN(_xlpm.txt),
  _xlpm.pos, MATCH(FALSE, ISNUMBER(MID(_xlpm.txt, ROW(INDIRECT("2:" &amp; _xlpm.n)), 1)*1), 0),
  LEFT(_xlpm.txt, _xlpm.pos)
)</f>
        <v>P1</v>
      </c>
      <c r="G377">
        <f>_xlfn.XLOOKUP(Table2[[#This Row],[Trigger]],SwitchButtons[switch],SwitchButtons[input])+Table2[[#This Row],[start]]</f>
        <v>3</v>
      </c>
      <c r="H377" t="s">
        <v>528</v>
      </c>
      <c r="I377" t="str">
        <f>_xlfn.XLOOKUP(Table2[[#This Row],[set1]],circuitoutputs[circuit],circuitoutputs[device])</f>
        <v>D13</v>
      </c>
      <c r="J377">
        <f>_xlfn.XLOOKUP(Table2[[#This Row],[set1]],circuitoutputs[circuit],circuitoutputs[output])</f>
        <v>0</v>
      </c>
      <c r="K377" t="s">
        <v>495</v>
      </c>
    </row>
    <row r="378" spans="1:11" hidden="1" x14ac:dyDescent="0.25">
      <c r="A378" t="s">
        <v>123</v>
      </c>
      <c r="B378" t="s">
        <v>251</v>
      </c>
      <c r="C378" cm="1">
        <f t="array" ref="C378">_xlfn.XLOOKUP(1,(LightSpec[Location]=Table2[[#This Row],[lookup Room]]) * (LightSpec[DiagNo]=Table2[[#This Row],[lookup Device]]), LightSpec[startinput])</f>
        <v>0</v>
      </c>
      <c r="D378" t="s">
        <v>508</v>
      </c>
      <c r="E378" t="s">
        <v>589</v>
      </c>
      <c r="F378" t="str" cm="1">
        <f t="array" aca="1" ref="F378" ca="1">_xlfn.LET(
  _xlpm.txt, _xlfn.XLOOKUP(1,(LightSpec[Location]=Table2[[#This Row],[lookup Room]]) * (LightSpec[DiagNo]=Table2[[#This Row],[lookup Device]]),LightSpec[From]),
  _xlpm.n, LEN(_xlpm.txt),
  _xlpm.pos, MATCH(FALSE, ISNUMBER(MID(_xlpm.txt, ROW(INDIRECT("2:" &amp; _xlpm.n)), 1)*1), 0),
  LEFT(_xlpm.txt, _xlpm.pos)
)</f>
        <v>P1</v>
      </c>
      <c r="G378">
        <f>_xlfn.XLOOKUP(Table2[[#This Row],[Trigger]],SwitchButtons[switch],SwitchButtons[input])+Table2[[#This Row],[start]]</f>
        <v>3</v>
      </c>
      <c r="H378" t="s">
        <v>550</v>
      </c>
      <c r="I378" t="str">
        <f>_xlfn.XLOOKUP(Table2[[#This Row],[set1]],circuitoutputs[circuit],circuitoutputs[device])</f>
        <v>P4</v>
      </c>
      <c r="J378">
        <f>_xlfn.XLOOKUP(Table2[[#This Row],[set1]],circuitoutputs[circuit],circuitoutputs[output])</f>
        <v>1</v>
      </c>
      <c r="K378" t="s">
        <v>495</v>
      </c>
    </row>
    <row r="379" spans="1:11" hidden="1" x14ac:dyDescent="0.25">
      <c r="A379" t="s">
        <v>123</v>
      </c>
      <c r="B379" t="s">
        <v>251</v>
      </c>
      <c r="C379" cm="1">
        <f t="array" ref="C379">_xlfn.XLOOKUP(1,(LightSpec[Location]=Table2[[#This Row],[lookup Room]]) * (LightSpec[DiagNo]=Table2[[#This Row],[lookup Device]]), LightSpec[startinput])</f>
        <v>0</v>
      </c>
      <c r="D379" t="s">
        <v>508</v>
      </c>
      <c r="E379" t="s">
        <v>589</v>
      </c>
      <c r="F379" t="str" cm="1">
        <f t="array" aca="1" ref="F379" ca="1">_xlfn.LET(
  _xlpm.txt, _xlfn.XLOOKUP(1,(LightSpec[Location]=Table2[[#This Row],[lookup Room]]) * (LightSpec[DiagNo]=Table2[[#This Row],[lookup Device]]),LightSpec[From]),
  _xlpm.n, LEN(_xlpm.txt),
  _xlpm.pos, MATCH(FALSE, ISNUMBER(MID(_xlpm.txt, ROW(INDIRECT("2:" &amp; _xlpm.n)), 1)*1), 0),
  LEFT(_xlpm.txt, _xlpm.pos)
)</f>
        <v>P1</v>
      </c>
      <c r="G379">
        <f>_xlfn.XLOOKUP(Table2[[#This Row],[Trigger]],SwitchButtons[switch],SwitchButtons[input])+Table2[[#This Row],[start]]</f>
        <v>3</v>
      </c>
      <c r="H379" t="s">
        <v>580</v>
      </c>
      <c r="I379" t="str">
        <f>_xlfn.XLOOKUP(Table2[[#This Row],[set1]],circuitoutputs[circuit],circuitoutputs[device])</f>
        <v>P4</v>
      </c>
      <c r="J379">
        <f>_xlfn.XLOOKUP(Table2[[#This Row],[set1]],circuitoutputs[circuit],circuitoutputs[output])</f>
        <v>2</v>
      </c>
      <c r="K379" t="s">
        <v>495</v>
      </c>
    </row>
    <row r="380" spans="1:11" hidden="1" x14ac:dyDescent="0.25">
      <c r="A380" t="s">
        <v>123</v>
      </c>
      <c r="B380" t="s">
        <v>251</v>
      </c>
      <c r="C380" cm="1">
        <f t="array" ref="C380">_xlfn.XLOOKUP(1,(LightSpec[Location]=Table2[[#This Row],[lookup Room]]) * (LightSpec[DiagNo]=Table2[[#This Row],[lookup Device]]), LightSpec[startinput])</f>
        <v>0</v>
      </c>
      <c r="D380" t="s">
        <v>508</v>
      </c>
      <c r="E380" t="s">
        <v>589</v>
      </c>
      <c r="F380" t="str" cm="1">
        <f t="array" aca="1" ref="F380" ca="1">_xlfn.LET(
  _xlpm.txt, _xlfn.XLOOKUP(1,(LightSpec[Location]=Table2[[#This Row],[lookup Room]]) * (LightSpec[DiagNo]=Table2[[#This Row],[lookup Device]]),LightSpec[From]),
  _xlpm.n, LEN(_xlpm.txt),
  _xlpm.pos, MATCH(FALSE, ISNUMBER(MID(_xlpm.txt, ROW(INDIRECT("2:" &amp; _xlpm.n)), 1)*1), 0),
  LEFT(_xlpm.txt, _xlpm.pos)
)</f>
        <v>P1</v>
      </c>
      <c r="G380">
        <f>_xlfn.XLOOKUP(Table2[[#This Row],[Trigger]],SwitchButtons[switch],SwitchButtons[input])+Table2[[#This Row],[start]]</f>
        <v>3</v>
      </c>
      <c r="H380" t="s">
        <v>603</v>
      </c>
      <c r="I380" t="str">
        <f>_xlfn.XLOOKUP(Table2[[#This Row],[set1]],circuitoutputs[circuit],circuitoutputs[device])</f>
        <v>D13</v>
      </c>
      <c r="J380">
        <f>_xlfn.XLOOKUP(Table2[[#This Row],[set1]],circuitoutputs[circuit],circuitoutputs[output])</f>
        <v>1</v>
      </c>
      <c r="K380" t="s">
        <v>495</v>
      </c>
    </row>
    <row r="381" spans="1:11" hidden="1" x14ac:dyDescent="0.25">
      <c r="A381" t="s">
        <v>124</v>
      </c>
      <c r="B381" t="s">
        <v>192</v>
      </c>
      <c r="C381" cm="1">
        <f t="array" ref="C381">_xlfn.XLOOKUP(1,(LightSpec[Location]=Table2[[#This Row],[lookup Room]]) * (LightSpec[DiagNo]=Table2[[#This Row],[lookup Device]]), LightSpec[startinput])</f>
        <v>0</v>
      </c>
      <c r="D381" t="s">
        <v>445</v>
      </c>
      <c r="E381" t="s">
        <v>500</v>
      </c>
      <c r="F381" t="str" cm="1">
        <f t="array" aca="1" ref="F381" ca="1">_xlfn.LET(
  _xlpm.txt, _xlfn.XLOOKUP(1,(LightSpec[Location]=Table2[[#This Row],[lookup Room]]) * (LightSpec[DiagNo]=Table2[[#This Row],[lookup Device]]),LightSpec[From]),
  _xlpm.n, LEN(_xlpm.txt),
  _xlpm.pos, MATCH(FALSE, ISNUMBER(MID(_xlpm.txt, ROW(INDIRECT("2:" &amp; _xlpm.n)), 1)*1), 0),
  LEFT(_xlpm.txt, _xlpm.pos)
)</f>
        <v>D14</v>
      </c>
      <c r="G381">
        <f>_xlfn.XLOOKUP(Table2[[#This Row],[Trigger]],SwitchButtons[switch],SwitchButtons[input])+Table2[[#This Row],[start]]</f>
        <v>0</v>
      </c>
      <c r="H381" t="s">
        <v>529</v>
      </c>
      <c r="I381" t="str">
        <f>_xlfn.XLOOKUP(Table2[[#This Row],[set1]],circuitoutputs[circuit],circuitoutputs[device])</f>
        <v>D14</v>
      </c>
      <c r="J381">
        <f>_xlfn.XLOOKUP(Table2[[#This Row],[set1]],circuitoutputs[circuit],circuitoutputs[output])</f>
        <v>0</v>
      </c>
      <c r="K381" t="s">
        <v>494</v>
      </c>
    </row>
    <row r="382" spans="1:11" hidden="1" x14ac:dyDescent="0.25">
      <c r="A382" t="s">
        <v>124</v>
      </c>
      <c r="B382" t="s">
        <v>192</v>
      </c>
      <c r="C382" cm="1">
        <f t="array" ref="C382">_xlfn.XLOOKUP(1,(LightSpec[Location]=Table2[[#This Row],[lookup Room]]) * (LightSpec[DiagNo]=Table2[[#This Row],[lookup Device]]), LightSpec[startinput])</f>
        <v>0</v>
      </c>
      <c r="D382" t="s">
        <v>445</v>
      </c>
      <c r="E382" t="s">
        <v>503</v>
      </c>
      <c r="F382" t="str" cm="1">
        <f t="array" aca="1" ref="F382" ca="1">_xlfn.LET(
  _xlpm.txt, _xlfn.XLOOKUP(1,(LightSpec[Location]=Table2[[#This Row],[lookup Room]]) * (LightSpec[DiagNo]=Table2[[#This Row],[lookup Device]]),LightSpec[From]),
  _xlpm.n, LEN(_xlpm.txt),
  _xlpm.pos, MATCH(FALSE, ISNUMBER(MID(_xlpm.txt, ROW(INDIRECT("2:" &amp; _xlpm.n)), 1)*1), 0),
  LEFT(_xlpm.txt, _xlpm.pos)
)</f>
        <v>D14</v>
      </c>
      <c r="G382">
        <f>_xlfn.XLOOKUP(Table2[[#This Row],[Trigger]],SwitchButtons[switch],SwitchButtons[input])+Table2[[#This Row],[start]]</f>
        <v>0</v>
      </c>
      <c r="H382" t="s">
        <v>529</v>
      </c>
      <c r="I382" t="str">
        <f>_xlfn.XLOOKUP(Table2[[#This Row],[set1]],circuitoutputs[circuit],circuitoutputs[device])</f>
        <v>D14</v>
      </c>
      <c r="J382">
        <f>_xlfn.XLOOKUP(Table2[[#This Row],[set1]],circuitoutputs[circuit],circuitoutputs[output])</f>
        <v>0</v>
      </c>
      <c r="K382" t="s">
        <v>596</v>
      </c>
    </row>
    <row r="383" spans="1:11" hidden="1" x14ac:dyDescent="0.25">
      <c r="A383" t="s">
        <v>124</v>
      </c>
      <c r="B383" t="s">
        <v>192</v>
      </c>
      <c r="C383" cm="1">
        <f t="array" ref="C383">_xlfn.XLOOKUP(1,(LightSpec[Location]=Table2[[#This Row],[lookup Room]]) * (LightSpec[DiagNo]=Table2[[#This Row],[lookup Device]]), LightSpec[startinput])</f>
        <v>0</v>
      </c>
      <c r="D383" t="s">
        <v>446</v>
      </c>
      <c r="E383" t="s">
        <v>500</v>
      </c>
      <c r="F383" t="str" cm="1">
        <f t="array" aca="1" ref="F383" ca="1">_xlfn.LET(
  _xlpm.txt, _xlfn.XLOOKUP(1,(LightSpec[Location]=Table2[[#This Row],[lookup Room]]) * (LightSpec[DiagNo]=Table2[[#This Row],[lookup Device]]),LightSpec[From]),
  _xlpm.n, LEN(_xlpm.txt),
  _xlpm.pos, MATCH(FALSE, ISNUMBER(MID(_xlpm.txt, ROW(INDIRECT("2:" &amp; _xlpm.n)), 1)*1), 0),
  LEFT(_xlpm.txt, _xlpm.pos)
)</f>
        <v>D14</v>
      </c>
      <c r="G383">
        <f>_xlfn.XLOOKUP(Table2[[#This Row],[Trigger]],SwitchButtons[switch],SwitchButtons[input])+Table2[[#This Row],[start]]</f>
        <v>1</v>
      </c>
      <c r="H383" t="s">
        <v>529</v>
      </c>
      <c r="I383" t="str">
        <f>_xlfn.XLOOKUP(Table2[[#This Row],[set1]],circuitoutputs[circuit],circuitoutputs[device])</f>
        <v>D14</v>
      </c>
      <c r="J383">
        <f>_xlfn.XLOOKUP(Table2[[#This Row],[set1]],circuitoutputs[circuit],circuitoutputs[output])</f>
        <v>0</v>
      </c>
      <c r="K383" t="s">
        <v>495</v>
      </c>
    </row>
    <row r="384" spans="1:11" hidden="1" x14ac:dyDescent="0.25">
      <c r="A384" t="s">
        <v>127</v>
      </c>
      <c r="B384" t="s">
        <v>251</v>
      </c>
      <c r="C384" cm="1">
        <f t="array" ref="C384">_xlfn.XLOOKUP(1,(LightSpec[Location]=Table2[[#This Row],[lookup Room]]) * (LightSpec[DiagNo]=Table2[[#This Row],[lookup Device]]), LightSpec[startinput])</f>
        <v>0</v>
      </c>
      <c r="D384" t="s">
        <v>506</v>
      </c>
      <c r="E384" t="s">
        <v>588</v>
      </c>
      <c r="F384" t="str" cm="1">
        <f t="array" aca="1" ref="F384" ca="1">_xlfn.LET(
  _xlpm.txt, _xlfn.XLOOKUP(1,(LightSpec[Location]=Table2[[#This Row],[lookup Room]]) * (LightSpec[DiagNo]=Table2[[#This Row],[lookup Device]]),LightSpec[From]),
  _xlpm.n, LEN(_xlpm.txt),
  _xlpm.pos, MATCH(FALSE, ISNUMBER(MID(_xlpm.txt, ROW(INDIRECT("2:" &amp; _xlpm.n)), 1)*1), 0),
  LEFT(_xlpm.txt, _xlpm.pos)
)</f>
        <v>P1</v>
      </c>
      <c r="G384">
        <f>_xlfn.XLOOKUP(Table2[[#This Row],[Trigger]],SwitchButtons[switch],SwitchButtons[input])+Table2[[#This Row],[start]]</f>
        <v>1</v>
      </c>
      <c r="H384" t="s">
        <v>563</v>
      </c>
      <c r="I384" t="str">
        <f>_xlfn.XLOOKUP(Table2[[#This Row],[set1]],circuitoutputs[circuit],circuitoutputs[device])</f>
        <v>D11</v>
      </c>
      <c r="J384">
        <f>_xlfn.XLOOKUP(Table2[[#This Row],[set1]],circuitoutputs[circuit],circuitoutputs[output])</f>
        <v>1</v>
      </c>
      <c r="K384" t="s">
        <v>596</v>
      </c>
    </row>
    <row r="385" spans="1:11" hidden="1" x14ac:dyDescent="0.25">
      <c r="A385" t="s">
        <v>127</v>
      </c>
      <c r="B385" t="s">
        <v>251</v>
      </c>
      <c r="C385" cm="1">
        <f t="array" ref="C385">_xlfn.XLOOKUP(1,(LightSpec[Location]=Table2[[#This Row],[lookup Room]]) * (LightSpec[DiagNo]=Table2[[#This Row],[lookup Device]]), LightSpec[startinput])</f>
        <v>0</v>
      </c>
      <c r="D385" t="s">
        <v>506</v>
      </c>
      <c r="E385" t="s">
        <v>589</v>
      </c>
      <c r="F385" t="str" cm="1">
        <f t="array" aca="1" ref="F385" ca="1">_xlfn.LET(
  _xlpm.txt, _xlfn.XLOOKUP(1,(LightSpec[Location]=Table2[[#This Row],[lookup Room]]) * (LightSpec[DiagNo]=Table2[[#This Row],[lookup Device]]),LightSpec[From]),
  _xlpm.n, LEN(_xlpm.txt),
  _xlpm.pos, MATCH(FALSE, ISNUMBER(MID(_xlpm.txt, ROW(INDIRECT("2:" &amp; _xlpm.n)), 1)*1), 0),
  LEFT(_xlpm.txt, _xlpm.pos)
)</f>
        <v>P1</v>
      </c>
      <c r="G385">
        <f>_xlfn.XLOOKUP(Table2[[#This Row],[Trigger]],SwitchButtons[switch],SwitchButtons[input])+Table2[[#This Row],[start]]</f>
        <v>1</v>
      </c>
      <c r="H385" t="s">
        <v>563</v>
      </c>
      <c r="I385" t="str">
        <f>_xlfn.XLOOKUP(Table2[[#This Row],[set1]],circuitoutputs[circuit],circuitoutputs[device])</f>
        <v>D11</v>
      </c>
      <c r="J385">
        <f>_xlfn.XLOOKUP(Table2[[#This Row],[set1]],circuitoutputs[circuit],circuitoutputs[output])</f>
        <v>1</v>
      </c>
      <c r="K385" t="s">
        <v>495</v>
      </c>
    </row>
    <row r="386" spans="1:11" hidden="1" x14ac:dyDescent="0.25">
      <c r="A386" t="s">
        <v>126</v>
      </c>
      <c r="B386" t="s">
        <v>192</v>
      </c>
      <c r="C386" cm="1">
        <f t="array" ref="C386">_xlfn.XLOOKUP(1,(LightSpec[Location]=Table2[[#This Row],[lookup Room]]) * (LightSpec[DiagNo]=Table2[[#This Row],[lookup Device]]), LightSpec[startinput])</f>
        <v>0</v>
      </c>
      <c r="D386" t="s">
        <v>445</v>
      </c>
      <c r="E386" t="s">
        <v>500</v>
      </c>
      <c r="F386" s="1" t="str" cm="1">
        <f t="array" aca="1" ref="F386" ca="1">_xlfn.LET(
  _xlpm.txt, _xlfn.XLOOKUP(1,(LightSpec[Location]=Table2[[#This Row],[lookup Room]]) * (LightSpec[DiagNo]=Table2[[#This Row],[lookup Device]]),LightSpec[From]),
  _xlpm.n, LEN(_xlpm.txt),
  _xlpm.pos, MATCH(FALSE, ISNUMBER(MID(_xlpm.txt, ROW(INDIRECT("2:" &amp; _xlpm.n)), 1)*1), 0),
  LEFT(_xlpm.txt, _xlpm.pos)
)</f>
        <v>D11</v>
      </c>
      <c r="G386">
        <f>_xlfn.XLOOKUP(Table2[[#This Row],[Trigger]],SwitchButtons[switch],SwitchButtons[input])+Table2[[#This Row],[start]]</f>
        <v>0</v>
      </c>
      <c r="H386" t="s">
        <v>562</v>
      </c>
      <c r="I386" t="str">
        <f>_xlfn.XLOOKUP(Table2[[#This Row],[set1]],circuitoutputs[circuit],circuitoutputs[device])</f>
        <v>D10</v>
      </c>
      <c r="J386">
        <f>_xlfn.XLOOKUP(Table2[[#This Row],[set1]],circuitoutputs[circuit],circuitoutputs[output])</f>
        <v>1</v>
      </c>
      <c r="K386" t="s">
        <v>494</v>
      </c>
    </row>
    <row r="387" spans="1:11" hidden="1" x14ac:dyDescent="0.25">
      <c r="A387" t="s">
        <v>126</v>
      </c>
      <c r="B387" t="s">
        <v>192</v>
      </c>
      <c r="C387" cm="1">
        <f t="array" ref="C387">_xlfn.XLOOKUP(1,(LightSpec[Location]=Table2[[#This Row],[lookup Room]]) * (LightSpec[DiagNo]=Table2[[#This Row],[lookup Device]]), LightSpec[startinput])</f>
        <v>0</v>
      </c>
      <c r="D387" t="s">
        <v>445</v>
      </c>
      <c r="E387" t="s">
        <v>500</v>
      </c>
      <c r="F387" s="1" t="str" cm="1">
        <f t="array" aca="1" ref="F387" ca="1">_xlfn.LET(
  _xlpm.txt, _xlfn.XLOOKUP(1,(LightSpec[Location]=Table2[[#This Row],[lookup Room]]) * (LightSpec[DiagNo]=Table2[[#This Row],[lookup Device]]),LightSpec[From]),
  _xlpm.n, LEN(_xlpm.txt),
  _xlpm.pos, MATCH(FALSE, ISNUMBER(MID(_xlpm.txt, ROW(INDIRECT("2:" &amp; _xlpm.n)), 1)*1), 0),
  LEFT(_xlpm.txt, _xlpm.pos)
)</f>
        <v>D11</v>
      </c>
      <c r="G387">
        <f>_xlfn.XLOOKUP(Table2[[#This Row],[Trigger]],SwitchButtons[switch],SwitchButtons[input])+Table2[[#This Row],[start]]</f>
        <v>0</v>
      </c>
      <c r="H387" t="s">
        <v>526</v>
      </c>
      <c r="I387" t="str">
        <f>_xlfn.XLOOKUP(Table2[[#This Row],[set1]],circuitoutputs[circuit],circuitoutputs[device])</f>
        <v>D11</v>
      </c>
      <c r="J387">
        <f>_xlfn.XLOOKUP(Table2[[#This Row],[set1]],circuitoutputs[circuit],circuitoutputs[output])</f>
        <v>0</v>
      </c>
      <c r="K387" t="s">
        <v>494</v>
      </c>
    </row>
    <row r="388" spans="1:11" hidden="1" x14ac:dyDescent="0.25">
      <c r="A388" t="s">
        <v>126</v>
      </c>
      <c r="B388" t="s">
        <v>192</v>
      </c>
      <c r="C388" cm="1">
        <f t="array" ref="C388">_xlfn.XLOOKUP(1,(LightSpec[Location]=Table2[[#This Row],[lookup Room]]) * (LightSpec[DiagNo]=Table2[[#This Row],[lookup Device]]), LightSpec[startinput])</f>
        <v>0</v>
      </c>
      <c r="D388" t="s">
        <v>446</v>
      </c>
      <c r="E388" t="s">
        <v>500</v>
      </c>
      <c r="F388" s="1" t="str" cm="1">
        <f t="array" aca="1" ref="F388" ca="1">_xlfn.LET(
  _xlpm.txt, _xlfn.XLOOKUP(1,(LightSpec[Location]=Table2[[#This Row],[lookup Room]]) * (LightSpec[DiagNo]=Table2[[#This Row],[lookup Device]]),LightSpec[From]),
  _xlpm.n, LEN(_xlpm.txt),
  _xlpm.pos, MATCH(FALSE, ISNUMBER(MID(_xlpm.txt, ROW(INDIRECT("2:" &amp; _xlpm.n)), 1)*1), 0),
  LEFT(_xlpm.txt, _xlpm.pos)
)</f>
        <v>D11</v>
      </c>
      <c r="G388">
        <f>_xlfn.XLOOKUP(Table2[[#This Row],[Trigger]],SwitchButtons[switch],SwitchButtons[input])+Table2[[#This Row],[start]]</f>
        <v>1</v>
      </c>
      <c r="H388" t="s">
        <v>562</v>
      </c>
      <c r="I388" t="str">
        <f>_xlfn.XLOOKUP(Table2[[#This Row],[set1]],circuitoutputs[circuit],circuitoutputs[device])</f>
        <v>D10</v>
      </c>
      <c r="J388">
        <f>_xlfn.XLOOKUP(Table2[[#This Row],[set1]],circuitoutputs[circuit],circuitoutputs[output])</f>
        <v>1</v>
      </c>
      <c r="K388" t="s">
        <v>495</v>
      </c>
    </row>
    <row r="389" spans="1:11" hidden="1" x14ac:dyDescent="0.25">
      <c r="A389" t="s">
        <v>126</v>
      </c>
      <c r="B389" t="s">
        <v>192</v>
      </c>
      <c r="C389" cm="1">
        <f t="array" ref="C389">_xlfn.XLOOKUP(1,(LightSpec[Location]=Table2[[#This Row],[lookup Room]]) * (LightSpec[DiagNo]=Table2[[#This Row],[lookup Device]]), LightSpec[startinput])</f>
        <v>0</v>
      </c>
      <c r="D389" t="s">
        <v>446</v>
      </c>
      <c r="E389" t="s">
        <v>500</v>
      </c>
      <c r="F389" s="1" t="str" cm="1">
        <f t="array" aca="1" ref="F389" ca="1">_xlfn.LET(
  _xlpm.txt, _xlfn.XLOOKUP(1,(LightSpec[Location]=Table2[[#This Row],[lookup Room]]) * (LightSpec[DiagNo]=Table2[[#This Row],[lookup Device]]),LightSpec[From]),
  _xlpm.n, LEN(_xlpm.txt),
  _xlpm.pos, MATCH(FALSE, ISNUMBER(MID(_xlpm.txt, ROW(INDIRECT("2:" &amp; _xlpm.n)), 1)*1), 0),
  LEFT(_xlpm.txt, _xlpm.pos)
)</f>
        <v>D11</v>
      </c>
      <c r="G389">
        <f>_xlfn.XLOOKUP(Table2[[#This Row],[Trigger]],SwitchButtons[switch],SwitchButtons[input])+Table2[[#This Row],[start]]</f>
        <v>1</v>
      </c>
      <c r="H389" t="s">
        <v>526</v>
      </c>
      <c r="I389" t="str">
        <f>_xlfn.XLOOKUP(Table2[[#This Row],[set1]],circuitoutputs[circuit],circuitoutputs[device])</f>
        <v>D11</v>
      </c>
      <c r="J389">
        <f>_xlfn.XLOOKUP(Table2[[#This Row],[set1]],circuitoutputs[circuit],circuitoutputs[output])</f>
        <v>0</v>
      </c>
      <c r="K389" t="s">
        <v>495</v>
      </c>
    </row>
    <row r="390" spans="1:11" hidden="1" x14ac:dyDescent="0.25">
      <c r="A390" t="s">
        <v>126</v>
      </c>
      <c r="B390" t="s">
        <v>192</v>
      </c>
      <c r="C390" cm="1">
        <f t="array" ref="C390">_xlfn.XLOOKUP(1,(LightSpec[Location]=Table2[[#This Row],[lookup Room]]) * (LightSpec[DiagNo]=Table2[[#This Row],[lookup Device]]), LightSpec[startinput])</f>
        <v>0</v>
      </c>
      <c r="D390" t="s">
        <v>447</v>
      </c>
      <c r="E390" t="s">
        <v>500</v>
      </c>
      <c r="F390" s="1" t="str" cm="1">
        <f t="array" aca="1" ref="F390" ca="1">_xlfn.LET(
  _xlpm.txt, _xlfn.XLOOKUP(1,(LightSpec[Location]=Table2[[#This Row],[lookup Room]]) * (LightSpec[DiagNo]=Table2[[#This Row],[lookup Device]]),LightSpec[From]),
  _xlpm.n, LEN(_xlpm.txt),
  _xlpm.pos, MATCH(FALSE, ISNUMBER(MID(_xlpm.txt, ROW(INDIRECT("2:" &amp; _xlpm.n)), 1)*1), 0),
  LEFT(_xlpm.txt, _xlpm.pos)
)</f>
        <v>D11</v>
      </c>
      <c r="G390">
        <f>_xlfn.XLOOKUP(Table2[[#This Row],[Trigger]],SwitchButtons[switch],SwitchButtons[input])+Table2[[#This Row],[start]]</f>
        <v>2</v>
      </c>
      <c r="H390" t="s">
        <v>563</v>
      </c>
      <c r="I390" t="str">
        <f>_xlfn.XLOOKUP(Table2[[#This Row],[set1]],circuitoutputs[circuit],circuitoutputs[device])</f>
        <v>D11</v>
      </c>
      <c r="J390">
        <f>_xlfn.XLOOKUP(Table2[[#This Row],[set1]],circuitoutputs[circuit],circuitoutputs[output])</f>
        <v>1</v>
      </c>
      <c r="K390" t="s">
        <v>597</v>
      </c>
    </row>
    <row r="391" spans="1:11" hidden="1" x14ac:dyDescent="0.25">
      <c r="A391" t="s">
        <v>126</v>
      </c>
      <c r="B391" t="s">
        <v>192</v>
      </c>
      <c r="C391" cm="1">
        <f t="array" ref="C391">_xlfn.XLOOKUP(1,(LightSpec[Location]=Table2[[#This Row],[lookup Room]]) * (LightSpec[DiagNo]=Table2[[#This Row],[lookup Device]]), LightSpec[startinput])</f>
        <v>0</v>
      </c>
      <c r="D391" t="s">
        <v>448</v>
      </c>
      <c r="E391" t="s">
        <v>500</v>
      </c>
      <c r="F391" s="1" t="str" cm="1">
        <f t="array" aca="1" ref="F391" ca="1">_xlfn.LET(
  _xlpm.txt, _xlfn.XLOOKUP(1,(LightSpec[Location]=Table2[[#This Row],[lookup Room]]) * (LightSpec[DiagNo]=Table2[[#This Row],[lookup Device]]),LightSpec[From]),
  _xlpm.n, LEN(_xlpm.txt),
  _xlpm.pos, MATCH(FALSE, ISNUMBER(MID(_xlpm.txt, ROW(INDIRECT("2:" &amp; _xlpm.n)), 1)*1), 0),
  LEFT(_xlpm.txt, _xlpm.pos)
)</f>
        <v>D11</v>
      </c>
      <c r="G391">
        <f>_xlfn.XLOOKUP(Table2[[#This Row],[Trigger]],SwitchButtons[switch],SwitchButtons[input])+Table2[[#This Row],[start]]</f>
        <v>3</v>
      </c>
      <c r="H391" t="s">
        <v>563</v>
      </c>
      <c r="I391" t="str">
        <f>_xlfn.XLOOKUP(Table2[[#This Row],[set1]],circuitoutputs[circuit],circuitoutputs[device])</f>
        <v>D11</v>
      </c>
      <c r="J391">
        <f>_xlfn.XLOOKUP(Table2[[#This Row],[set1]],circuitoutputs[circuit],circuitoutputs[output])</f>
        <v>1</v>
      </c>
      <c r="K391" t="s">
        <v>495</v>
      </c>
    </row>
    <row r="392" spans="1:11" hidden="1" x14ac:dyDescent="0.25">
      <c r="A392" t="s">
        <v>128</v>
      </c>
      <c r="B392" t="s">
        <v>192</v>
      </c>
      <c r="C392" cm="1">
        <f t="array" ref="C392">_xlfn.XLOOKUP(1,(LightSpec[Location]=Table2[[#This Row],[lookup Room]]) * (LightSpec[DiagNo]=Table2[[#This Row],[lookup Device]]), LightSpec[startinput])</f>
        <v>0</v>
      </c>
      <c r="D392" t="s">
        <v>445</v>
      </c>
      <c r="E392" t="s">
        <v>500</v>
      </c>
      <c r="F392" t="str" cm="1">
        <f t="array" aca="1" ref="F392" ca="1">_xlfn.LET(
  _xlpm.txt, _xlfn.XLOOKUP(1,(LightSpec[Location]=Table2[[#This Row],[lookup Room]]) * (LightSpec[DiagNo]=Table2[[#This Row],[lookup Device]]),LightSpec[From]),
  _xlpm.n, LEN(_xlpm.txt),
  _xlpm.pos, MATCH(FALSE, ISNUMBER(MID(_xlpm.txt, ROW(INDIRECT("2:" &amp; _xlpm.n)), 1)*1), 0),
  LEFT(_xlpm.txt, _xlpm.pos)
)</f>
        <v>D12</v>
      </c>
      <c r="G392">
        <f>_xlfn.XLOOKUP(Table2[[#This Row],[Trigger]],SwitchButtons[switch],SwitchButtons[input])+Table2[[#This Row],[start]]</f>
        <v>0</v>
      </c>
      <c r="H392" t="s">
        <v>527</v>
      </c>
      <c r="I392" t="str">
        <f>_xlfn.XLOOKUP(Table2[[#This Row],[set1]],circuitoutputs[circuit],circuitoutputs[device])</f>
        <v>D12</v>
      </c>
      <c r="J392">
        <f>_xlfn.XLOOKUP(Table2[[#This Row],[set1]],circuitoutputs[circuit],circuitoutputs[output])</f>
        <v>0</v>
      </c>
      <c r="K392" t="s">
        <v>494</v>
      </c>
    </row>
    <row r="393" spans="1:11" hidden="1" x14ac:dyDescent="0.25">
      <c r="A393" t="s">
        <v>128</v>
      </c>
      <c r="B393" t="s">
        <v>192</v>
      </c>
      <c r="C393" cm="1">
        <f t="array" ref="C393">_xlfn.XLOOKUP(1,(LightSpec[Location]=Table2[[#This Row],[lookup Room]]) * (LightSpec[DiagNo]=Table2[[#This Row],[lookup Device]]), LightSpec[startinput])</f>
        <v>0</v>
      </c>
      <c r="D393" t="s">
        <v>445</v>
      </c>
      <c r="E393" t="s">
        <v>503</v>
      </c>
      <c r="F393" t="str" cm="1">
        <f t="array" aca="1" ref="F393" ca="1">_xlfn.LET(
  _xlpm.txt, _xlfn.XLOOKUP(1,(LightSpec[Location]=Table2[[#This Row],[lookup Room]]) * (LightSpec[DiagNo]=Table2[[#This Row],[lookup Device]]),LightSpec[From]),
  _xlpm.n, LEN(_xlpm.txt),
  _xlpm.pos, MATCH(FALSE, ISNUMBER(MID(_xlpm.txt, ROW(INDIRECT("2:" &amp; _xlpm.n)), 1)*1), 0),
  LEFT(_xlpm.txt, _xlpm.pos)
)</f>
        <v>D12</v>
      </c>
      <c r="G393">
        <f>_xlfn.XLOOKUP(Table2[[#This Row],[Trigger]],SwitchButtons[switch],SwitchButtons[input])+Table2[[#This Row],[start]]</f>
        <v>0</v>
      </c>
      <c r="H393" t="s">
        <v>527</v>
      </c>
      <c r="I393" t="str">
        <f>_xlfn.XLOOKUP(Table2[[#This Row],[set1]],circuitoutputs[circuit],circuitoutputs[device])</f>
        <v>D12</v>
      </c>
      <c r="J393">
        <f>_xlfn.XLOOKUP(Table2[[#This Row],[set1]],circuitoutputs[circuit],circuitoutputs[output])</f>
        <v>0</v>
      </c>
      <c r="K393" t="s">
        <v>596</v>
      </c>
    </row>
    <row r="394" spans="1:11" hidden="1" x14ac:dyDescent="0.25">
      <c r="A394" t="s">
        <v>128</v>
      </c>
      <c r="B394" t="s">
        <v>192</v>
      </c>
      <c r="C394" cm="1">
        <f t="array" ref="C394">_xlfn.XLOOKUP(1,(LightSpec[Location]=Table2[[#This Row],[lookup Room]]) * (LightSpec[DiagNo]=Table2[[#This Row],[lookup Device]]), LightSpec[startinput])</f>
        <v>0</v>
      </c>
      <c r="D394" t="s">
        <v>446</v>
      </c>
      <c r="E394" t="s">
        <v>500</v>
      </c>
      <c r="F394" t="str" cm="1">
        <f t="array" aca="1" ref="F394" ca="1">_xlfn.LET(
  _xlpm.txt, _xlfn.XLOOKUP(1,(LightSpec[Location]=Table2[[#This Row],[lookup Room]]) * (LightSpec[DiagNo]=Table2[[#This Row],[lookup Device]]),LightSpec[From]),
  _xlpm.n, LEN(_xlpm.txt),
  _xlpm.pos, MATCH(FALSE, ISNUMBER(MID(_xlpm.txt, ROW(INDIRECT("2:" &amp; _xlpm.n)), 1)*1), 0),
  LEFT(_xlpm.txt, _xlpm.pos)
)</f>
        <v>D12</v>
      </c>
      <c r="G394">
        <f>_xlfn.XLOOKUP(Table2[[#This Row],[Trigger]],SwitchButtons[switch],SwitchButtons[input])+Table2[[#This Row],[start]]</f>
        <v>1</v>
      </c>
      <c r="H394" t="s">
        <v>527</v>
      </c>
      <c r="I394" t="str">
        <f>_xlfn.XLOOKUP(Table2[[#This Row],[set1]],circuitoutputs[circuit],circuitoutputs[device])</f>
        <v>D12</v>
      </c>
      <c r="J394">
        <f>_xlfn.XLOOKUP(Table2[[#This Row],[set1]],circuitoutputs[circuit],circuitoutputs[output])</f>
        <v>0</v>
      </c>
      <c r="K394" t="s">
        <v>495</v>
      </c>
    </row>
    <row r="395" spans="1:11" hidden="1" x14ac:dyDescent="0.25">
      <c r="A395" t="s">
        <v>128</v>
      </c>
      <c r="B395" t="s">
        <v>192</v>
      </c>
      <c r="C395" cm="1">
        <f t="array" ref="C395">_xlfn.XLOOKUP(1,(LightSpec[Location]=Table2[[#This Row],[lookup Room]]) * (LightSpec[DiagNo]=Table2[[#This Row],[lookup Device]]), LightSpec[startinput])</f>
        <v>0</v>
      </c>
      <c r="D395" t="s">
        <v>447</v>
      </c>
      <c r="E395" t="s">
        <v>500</v>
      </c>
      <c r="F395" t="str" cm="1">
        <f t="array" aca="1" ref="F395" ca="1">_xlfn.LET(
  _xlpm.txt, _xlfn.XLOOKUP(1,(LightSpec[Location]=Table2[[#This Row],[lookup Room]]) * (LightSpec[DiagNo]=Table2[[#This Row],[lookup Device]]),LightSpec[From]),
  _xlpm.n, LEN(_xlpm.txt),
  _xlpm.pos, MATCH(FALSE, ISNUMBER(MID(_xlpm.txt, ROW(INDIRECT("2:" &amp; _xlpm.n)), 1)*1), 0),
  LEFT(_xlpm.txt, _xlpm.pos)
)</f>
        <v>D12</v>
      </c>
      <c r="G395">
        <f>_xlfn.XLOOKUP(Table2[[#This Row],[Trigger]],SwitchButtons[switch],SwitchButtons[input])+Table2[[#This Row],[start]]</f>
        <v>2</v>
      </c>
      <c r="H395" t="s">
        <v>564</v>
      </c>
      <c r="I395" t="str">
        <f>_xlfn.XLOOKUP(Table2[[#This Row],[set1]],circuitoutputs[circuit],circuitoutputs[device])</f>
        <v>D12</v>
      </c>
      <c r="J395">
        <f>_xlfn.XLOOKUP(Table2[[#This Row],[set1]],circuitoutputs[circuit],circuitoutputs[output])</f>
        <v>1</v>
      </c>
      <c r="K395" t="s">
        <v>597</v>
      </c>
    </row>
    <row r="396" spans="1:11" hidden="1" x14ac:dyDescent="0.25">
      <c r="A396" t="s">
        <v>128</v>
      </c>
      <c r="B396" t="s">
        <v>192</v>
      </c>
      <c r="C396" cm="1">
        <f t="array" ref="C396">_xlfn.XLOOKUP(1,(LightSpec[Location]=Table2[[#This Row],[lookup Room]]) * (LightSpec[DiagNo]=Table2[[#This Row],[lookup Device]]), LightSpec[startinput])</f>
        <v>0</v>
      </c>
      <c r="D396" t="s">
        <v>448</v>
      </c>
      <c r="E396" t="s">
        <v>500</v>
      </c>
      <c r="F396" t="str" cm="1">
        <f t="array" aca="1" ref="F396" ca="1">_xlfn.LET(
  _xlpm.txt, _xlfn.XLOOKUP(1,(LightSpec[Location]=Table2[[#This Row],[lookup Room]]) * (LightSpec[DiagNo]=Table2[[#This Row],[lookup Device]]),LightSpec[From]),
  _xlpm.n, LEN(_xlpm.txt),
  _xlpm.pos, MATCH(FALSE, ISNUMBER(MID(_xlpm.txt, ROW(INDIRECT("2:" &amp; _xlpm.n)), 1)*1), 0),
  LEFT(_xlpm.txt, _xlpm.pos)
)</f>
        <v>D12</v>
      </c>
      <c r="G396">
        <f>_xlfn.XLOOKUP(Table2[[#This Row],[Trigger]],SwitchButtons[switch],SwitchButtons[input])+Table2[[#This Row],[start]]</f>
        <v>3</v>
      </c>
      <c r="H396" t="s">
        <v>564</v>
      </c>
      <c r="I396" t="str">
        <f>_xlfn.XLOOKUP(Table2[[#This Row],[set1]],circuitoutputs[circuit],circuitoutputs[device])</f>
        <v>D12</v>
      </c>
      <c r="J396">
        <f>_xlfn.XLOOKUP(Table2[[#This Row],[set1]],circuitoutputs[circuit],circuitoutputs[output])</f>
        <v>1</v>
      </c>
      <c r="K396" t="s">
        <v>495</v>
      </c>
    </row>
    <row r="397" spans="1:11" hidden="1" x14ac:dyDescent="0.25">
      <c r="A397" t="s">
        <v>128</v>
      </c>
      <c r="B397" t="s">
        <v>251</v>
      </c>
      <c r="C397" cm="1">
        <f t="array" ref="C397">_xlfn.XLOOKUP(1,(LightSpec[Location]=Table2[[#This Row],[lookup Room]]) * (LightSpec[DiagNo]=Table2[[#This Row],[lookup Device]]), LightSpec[startinput])</f>
        <v>0</v>
      </c>
      <c r="D397" t="s">
        <v>507</v>
      </c>
      <c r="E397" t="s">
        <v>588</v>
      </c>
      <c r="F397" t="str" cm="1">
        <f t="array" aca="1" ref="F397" ca="1">_xlfn.LET(
  _xlpm.txt, _xlfn.XLOOKUP(1,(LightSpec[Location]=Table2[[#This Row],[lookup Room]]) * (LightSpec[DiagNo]=Table2[[#This Row],[lookup Device]]),LightSpec[From]),
  _xlpm.n, LEN(_xlpm.txt),
  _xlpm.pos, MATCH(FALSE, ISNUMBER(MID(_xlpm.txt, ROW(INDIRECT("2:" &amp; _xlpm.n)), 1)*1), 0),
  LEFT(_xlpm.txt, _xlpm.pos)
)</f>
        <v>P1</v>
      </c>
      <c r="G397">
        <f>_xlfn.XLOOKUP(Table2[[#This Row],[Trigger]],SwitchButtons[switch],SwitchButtons[input])+Table2[[#This Row],[start]]</f>
        <v>2</v>
      </c>
      <c r="H397" t="s">
        <v>527</v>
      </c>
      <c r="I397" t="str">
        <f>_xlfn.XLOOKUP(Table2[[#This Row],[set1]],circuitoutputs[circuit],circuitoutputs[device])</f>
        <v>D12</v>
      </c>
      <c r="J397">
        <f>_xlfn.XLOOKUP(Table2[[#This Row],[set1]],circuitoutputs[circuit],circuitoutputs[output])</f>
        <v>0</v>
      </c>
      <c r="K397" t="s">
        <v>494</v>
      </c>
    </row>
    <row r="398" spans="1:11" hidden="1" x14ac:dyDescent="0.25">
      <c r="A398" t="s">
        <v>128</v>
      </c>
      <c r="B398" t="s">
        <v>251</v>
      </c>
      <c r="C398" cm="1">
        <f t="array" ref="C398">_xlfn.XLOOKUP(1,(LightSpec[Location]=Table2[[#This Row],[lookup Room]]) * (LightSpec[DiagNo]=Table2[[#This Row],[lookup Device]]), LightSpec[startinput])</f>
        <v>0</v>
      </c>
      <c r="D398" t="s">
        <v>507</v>
      </c>
      <c r="E398" t="s">
        <v>589</v>
      </c>
      <c r="F398" t="str" cm="1">
        <f t="array" aca="1" ref="F398" ca="1">_xlfn.LET(
  _xlpm.txt, _xlfn.XLOOKUP(1,(LightSpec[Location]=Table2[[#This Row],[lookup Room]]) * (LightSpec[DiagNo]=Table2[[#This Row],[lookup Device]]),LightSpec[From]),
  _xlpm.n, LEN(_xlpm.txt),
  _xlpm.pos, MATCH(FALSE, ISNUMBER(MID(_xlpm.txt, ROW(INDIRECT("2:" &amp; _xlpm.n)), 1)*1), 0),
  LEFT(_xlpm.txt, _xlpm.pos)
)</f>
        <v>P1</v>
      </c>
      <c r="G398">
        <f>_xlfn.XLOOKUP(Table2[[#This Row],[Trigger]],SwitchButtons[switch],SwitchButtons[input])+Table2[[#This Row],[start]]</f>
        <v>2</v>
      </c>
      <c r="H398" t="s">
        <v>527</v>
      </c>
      <c r="I398" t="str">
        <f>_xlfn.XLOOKUP(Table2[[#This Row],[set1]],circuitoutputs[circuit],circuitoutputs[device])</f>
        <v>D12</v>
      </c>
      <c r="J398">
        <f>_xlfn.XLOOKUP(Table2[[#This Row],[set1]],circuitoutputs[circuit],circuitoutputs[output])</f>
        <v>0</v>
      </c>
      <c r="K398" t="s">
        <v>495</v>
      </c>
    </row>
  </sheetData>
  <phoneticPr fontId="3" type="noConversion"/>
  <dataValidations count="4">
    <dataValidation type="list" allowBlank="1" showInputMessage="1" showErrorMessage="1" sqref="E2:E398" xr:uid="{49429DE3-973E-403E-84EA-B8875915DFCC}">
      <formula1>Events</formula1>
    </dataValidation>
    <dataValidation type="list" allowBlank="1" showInputMessage="1" showErrorMessage="1" sqref="D2:D398" xr:uid="{B2D9965E-1658-4CF4-B6FD-8B03F391884B}">
      <formula1>Trigger</formula1>
    </dataValidation>
    <dataValidation type="list" allowBlank="1" showInputMessage="1" showErrorMessage="1" sqref="H2:H398" xr:uid="{0807570B-CF24-4764-B4AE-B0A5505B97C5}">
      <formula1>circuits</formula1>
    </dataValidation>
    <dataValidation type="list" allowBlank="1" showInputMessage="1" showErrorMessage="1" sqref="K2:K398" xr:uid="{201D99B1-86EC-4CF7-81FA-2F45C3C3A57E}">
      <formula1>Brightness</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148C5C7-AA4B-4497-9842-DD6A8DE4B77D}">
          <x14:formula1>
            <xm:f>'Rooms'!$A$2:$A$21</xm:f>
          </x14:formula1>
          <xm:sqref>A2:A398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F29B4-3665-4FBA-8A72-02DED9FA7D46}">
  <dimension ref="A1:M78"/>
  <sheetViews>
    <sheetView zoomScaleNormal="100" workbookViewId="0">
      <selection activeCell="A5" sqref="A5"/>
    </sheetView>
  </sheetViews>
  <sheetFormatPr defaultRowHeight="15.75" x14ac:dyDescent="0.25"/>
  <cols>
    <col min="1" max="1" width="21.375" bestFit="1" customWidth="1"/>
    <col min="2" max="2" width="7.25" bestFit="1" customWidth="1"/>
    <col min="3" max="3" width="3" customWidth="1"/>
    <col min="4" max="4" width="21.625" bestFit="1" customWidth="1"/>
    <col min="5" max="5" width="3.5" customWidth="1"/>
    <col min="6" max="6" width="10.625" bestFit="1" customWidth="1"/>
    <col min="7" max="7" width="12" customWidth="1"/>
    <col min="9" max="9" width="11" customWidth="1"/>
    <col min="11" max="11" width="18.5" bestFit="1" customWidth="1"/>
    <col min="12" max="12" width="7.625" customWidth="1"/>
  </cols>
  <sheetData>
    <row r="1" spans="1:13" x14ac:dyDescent="0.25">
      <c r="A1" t="s">
        <v>182</v>
      </c>
      <c r="B1" t="s">
        <v>174</v>
      </c>
      <c r="D1" t="s">
        <v>424</v>
      </c>
      <c r="F1" t="s">
        <v>492</v>
      </c>
      <c r="G1" t="s">
        <v>491</v>
      </c>
      <c r="I1" t="s">
        <v>496</v>
      </c>
      <c r="K1" t="s">
        <v>545</v>
      </c>
      <c r="L1" t="s">
        <v>493</v>
      </c>
      <c r="M1" t="s">
        <v>546</v>
      </c>
    </row>
    <row r="2" spans="1:13" x14ac:dyDescent="0.25">
      <c r="A2" t="s">
        <v>183</v>
      </c>
      <c r="B2" t="s">
        <v>208</v>
      </c>
      <c r="D2" t="s">
        <v>500</v>
      </c>
      <c r="F2" t="s">
        <v>445</v>
      </c>
      <c r="G2">
        <v>0</v>
      </c>
      <c r="I2" t="s">
        <v>494</v>
      </c>
      <c r="K2" t="s">
        <v>571</v>
      </c>
      <c r="L2" t="s">
        <v>473</v>
      </c>
      <c r="M2">
        <v>1</v>
      </c>
    </row>
    <row r="3" spans="1:13" x14ac:dyDescent="0.25">
      <c r="A3" t="s">
        <v>184</v>
      </c>
      <c r="B3" t="s">
        <v>202</v>
      </c>
      <c r="D3" t="s">
        <v>501</v>
      </c>
      <c r="F3" t="s">
        <v>446</v>
      </c>
      <c r="G3">
        <v>1</v>
      </c>
      <c r="I3">
        <v>100</v>
      </c>
      <c r="K3" t="s">
        <v>537</v>
      </c>
      <c r="L3" t="s">
        <v>474</v>
      </c>
      <c r="M3">
        <v>0</v>
      </c>
    </row>
    <row r="4" spans="1:13" x14ac:dyDescent="0.25">
      <c r="A4" t="s">
        <v>672</v>
      </c>
      <c r="B4" t="s">
        <v>670</v>
      </c>
      <c r="D4" t="s">
        <v>502</v>
      </c>
      <c r="F4" t="s">
        <v>447</v>
      </c>
      <c r="G4">
        <v>2</v>
      </c>
      <c r="I4">
        <v>90</v>
      </c>
      <c r="K4" t="s">
        <v>574</v>
      </c>
      <c r="L4" t="s">
        <v>476</v>
      </c>
      <c r="M4">
        <v>1</v>
      </c>
    </row>
    <row r="5" spans="1:13" x14ac:dyDescent="0.25">
      <c r="D5" t="s">
        <v>503</v>
      </c>
      <c r="F5" t="s">
        <v>448</v>
      </c>
      <c r="G5">
        <v>3</v>
      </c>
      <c r="I5">
        <v>80</v>
      </c>
      <c r="K5" t="s">
        <v>540</v>
      </c>
      <c r="L5" t="s">
        <v>477</v>
      </c>
      <c r="M5">
        <v>0</v>
      </c>
    </row>
    <row r="6" spans="1:13" x14ac:dyDescent="0.25">
      <c r="D6" t="s">
        <v>588</v>
      </c>
      <c r="F6" t="s">
        <v>505</v>
      </c>
      <c r="G6">
        <v>0</v>
      </c>
      <c r="I6">
        <v>70</v>
      </c>
      <c r="K6" t="s">
        <v>575</v>
      </c>
      <c r="L6" t="s">
        <v>477</v>
      </c>
      <c r="M6">
        <v>1</v>
      </c>
    </row>
    <row r="7" spans="1:13" x14ac:dyDescent="0.25">
      <c r="D7" t="s">
        <v>589</v>
      </c>
      <c r="F7" t="s">
        <v>506</v>
      </c>
      <c r="G7">
        <v>1</v>
      </c>
      <c r="I7">
        <v>60</v>
      </c>
      <c r="K7" t="s">
        <v>542</v>
      </c>
      <c r="L7" t="s">
        <v>479</v>
      </c>
      <c r="M7">
        <v>0</v>
      </c>
    </row>
    <row r="8" spans="1:13" x14ac:dyDescent="0.25">
      <c r="F8" t="s">
        <v>507</v>
      </c>
      <c r="G8">
        <v>2</v>
      </c>
      <c r="I8">
        <v>50</v>
      </c>
      <c r="K8" t="s">
        <v>544</v>
      </c>
      <c r="L8" t="s">
        <v>481</v>
      </c>
      <c r="M8">
        <v>0</v>
      </c>
    </row>
    <row r="9" spans="1:13" x14ac:dyDescent="0.25">
      <c r="F9" t="s">
        <v>508</v>
      </c>
      <c r="G9">
        <v>3</v>
      </c>
      <c r="I9">
        <v>40</v>
      </c>
      <c r="K9" t="s">
        <v>576</v>
      </c>
      <c r="L9" t="s">
        <v>479</v>
      </c>
      <c r="M9">
        <v>1</v>
      </c>
    </row>
    <row r="10" spans="1:13" x14ac:dyDescent="0.25">
      <c r="I10">
        <v>30</v>
      </c>
      <c r="K10" t="s">
        <v>522</v>
      </c>
      <c r="L10" t="s">
        <v>461</v>
      </c>
      <c r="M10">
        <v>0</v>
      </c>
    </row>
    <row r="11" spans="1:13" x14ac:dyDescent="0.25">
      <c r="I11">
        <v>20</v>
      </c>
      <c r="K11" t="s">
        <v>559</v>
      </c>
      <c r="L11" t="s">
        <v>461</v>
      </c>
      <c r="M11">
        <v>1</v>
      </c>
    </row>
    <row r="12" spans="1:13" x14ac:dyDescent="0.25">
      <c r="I12">
        <v>10</v>
      </c>
      <c r="K12" t="s">
        <v>523</v>
      </c>
      <c r="L12" t="s">
        <v>462</v>
      </c>
      <c r="M12">
        <v>0</v>
      </c>
    </row>
    <row r="13" spans="1:13" x14ac:dyDescent="0.25">
      <c r="I13" t="s">
        <v>419</v>
      </c>
      <c r="K13" t="s">
        <v>560</v>
      </c>
      <c r="L13" t="s">
        <v>462</v>
      </c>
      <c r="M13">
        <v>1</v>
      </c>
    </row>
    <row r="14" spans="1:13" x14ac:dyDescent="0.25">
      <c r="I14" t="s">
        <v>495</v>
      </c>
      <c r="K14" t="s">
        <v>524</v>
      </c>
      <c r="L14" t="s">
        <v>463</v>
      </c>
      <c r="M14">
        <v>0</v>
      </c>
    </row>
    <row r="15" spans="1:13" x14ac:dyDescent="0.25">
      <c r="I15" t="s">
        <v>594</v>
      </c>
      <c r="K15" t="s">
        <v>513</v>
      </c>
      <c r="L15" t="s">
        <v>294</v>
      </c>
      <c r="M15">
        <v>0</v>
      </c>
    </row>
    <row r="16" spans="1:13" x14ac:dyDescent="0.25">
      <c r="I16" t="s">
        <v>593</v>
      </c>
      <c r="K16" t="s">
        <v>561</v>
      </c>
      <c r="L16" t="s">
        <v>463</v>
      </c>
      <c r="M16">
        <v>1</v>
      </c>
    </row>
    <row r="17" spans="9:13" x14ac:dyDescent="0.25">
      <c r="I17" t="s">
        <v>595</v>
      </c>
      <c r="K17" t="s">
        <v>525</v>
      </c>
      <c r="L17" t="s">
        <v>464</v>
      </c>
      <c r="M17">
        <v>0</v>
      </c>
    </row>
    <row r="18" spans="9:13" x14ac:dyDescent="0.25">
      <c r="I18" t="s">
        <v>596</v>
      </c>
      <c r="K18" t="s">
        <v>556</v>
      </c>
      <c r="L18" t="s">
        <v>458</v>
      </c>
      <c r="M18">
        <v>1</v>
      </c>
    </row>
    <row r="19" spans="9:13" x14ac:dyDescent="0.25">
      <c r="I19" t="s">
        <v>597</v>
      </c>
      <c r="K19" t="s">
        <v>556</v>
      </c>
      <c r="L19" t="s">
        <v>467</v>
      </c>
      <c r="M19">
        <v>1</v>
      </c>
    </row>
    <row r="20" spans="9:13" x14ac:dyDescent="0.25">
      <c r="K20" t="s">
        <v>556</v>
      </c>
      <c r="L20" t="s">
        <v>468</v>
      </c>
      <c r="M20">
        <v>1</v>
      </c>
    </row>
    <row r="21" spans="9:13" x14ac:dyDescent="0.25">
      <c r="K21" t="s">
        <v>556</v>
      </c>
      <c r="L21" t="s">
        <v>478</v>
      </c>
      <c r="M21">
        <v>1</v>
      </c>
    </row>
    <row r="22" spans="9:13" x14ac:dyDescent="0.25">
      <c r="K22" t="s">
        <v>572</v>
      </c>
      <c r="L22" t="s">
        <v>474</v>
      </c>
      <c r="M22">
        <v>1</v>
      </c>
    </row>
    <row r="23" spans="9:13" x14ac:dyDescent="0.25">
      <c r="K23" t="s">
        <v>538</v>
      </c>
      <c r="L23" t="s">
        <v>475</v>
      </c>
      <c r="M23">
        <v>0</v>
      </c>
    </row>
    <row r="24" spans="9:13" x14ac:dyDescent="0.25">
      <c r="K24" t="s">
        <v>573</v>
      </c>
      <c r="L24" t="s">
        <v>475</v>
      </c>
      <c r="M24">
        <v>1</v>
      </c>
    </row>
    <row r="25" spans="9:13" x14ac:dyDescent="0.25">
      <c r="K25" t="s">
        <v>539</v>
      </c>
      <c r="L25" t="s">
        <v>476</v>
      </c>
      <c r="M25">
        <v>0</v>
      </c>
    </row>
    <row r="26" spans="9:13" x14ac:dyDescent="0.25">
      <c r="K26" t="s">
        <v>541</v>
      </c>
      <c r="L26" t="s">
        <v>478</v>
      </c>
      <c r="M26">
        <v>0</v>
      </c>
    </row>
    <row r="27" spans="9:13" x14ac:dyDescent="0.25">
      <c r="K27" t="s">
        <v>514</v>
      </c>
      <c r="L27" t="s">
        <v>295</v>
      </c>
      <c r="M27">
        <v>0</v>
      </c>
    </row>
    <row r="28" spans="9:13" x14ac:dyDescent="0.25">
      <c r="K28" t="s">
        <v>551</v>
      </c>
      <c r="L28" t="s">
        <v>295</v>
      </c>
      <c r="M28">
        <v>1</v>
      </c>
    </row>
    <row r="29" spans="9:13" x14ac:dyDescent="0.25">
      <c r="K29" t="s">
        <v>543</v>
      </c>
      <c r="L29" t="s">
        <v>480</v>
      </c>
      <c r="M29">
        <v>0</v>
      </c>
    </row>
    <row r="30" spans="9:13" x14ac:dyDescent="0.25">
      <c r="K30" t="s">
        <v>515</v>
      </c>
      <c r="L30" t="s">
        <v>394</v>
      </c>
      <c r="M30">
        <v>0</v>
      </c>
    </row>
    <row r="31" spans="9:13" x14ac:dyDescent="0.25">
      <c r="K31" t="s">
        <v>552</v>
      </c>
      <c r="L31" t="s">
        <v>394</v>
      </c>
      <c r="M31">
        <v>1</v>
      </c>
    </row>
    <row r="32" spans="9:13" x14ac:dyDescent="0.25">
      <c r="K32" t="s">
        <v>581</v>
      </c>
      <c r="L32" t="s">
        <v>394</v>
      </c>
      <c r="M32">
        <v>2</v>
      </c>
    </row>
    <row r="33" spans="11:13" x14ac:dyDescent="0.25">
      <c r="K33" t="s">
        <v>516</v>
      </c>
      <c r="L33" t="s">
        <v>266</v>
      </c>
      <c r="M33">
        <v>0</v>
      </c>
    </row>
    <row r="34" spans="11:13" x14ac:dyDescent="0.25">
      <c r="K34" t="s">
        <v>553</v>
      </c>
      <c r="L34" t="s">
        <v>266</v>
      </c>
      <c r="M34">
        <v>1</v>
      </c>
    </row>
    <row r="35" spans="11:13" x14ac:dyDescent="0.25">
      <c r="K35" t="s">
        <v>517</v>
      </c>
      <c r="L35" t="s">
        <v>309</v>
      </c>
      <c r="M35">
        <v>0</v>
      </c>
    </row>
    <row r="36" spans="11:13" x14ac:dyDescent="0.25">
      <c r="K36" t="s">
        <v>554</v>
      </c>
      <c r="L36" t="s">
        <v>309</v>
      </c>
      <c r="M36">
        <v>1</v>
      </c>
    </row>
    <row r="37" spans="11:13" x14ac:dyDescent="0.25">
      <c r="K37" t="s">
        <v>518</v>
      </c>
      <c r="L37" t="s">
        <v>310</v>
      </c>
      <c r="M37">
        <v>0</v>
      </c>
    </row>
    <row r="38" spans="11:13" x14ac:dyDescent="0.25">
      <c r="K38" t="s">
        <v>555</v>
      </c>
      <c r="L38" t="s">
        <v>310</v>
      </c>
      <c r="M38">
        <v>1</v>
      </c>
    </row>
    <row r="39" spans="11:13" x14ac:dyDescent="0.25">
      <c r="K39" t="s">
        <v>529</v>
      </c>
      <c r="L39" t="s">
        <v>468</v>
      </c>
      <c r="M39">
        <v>0</v>
      </c>
    </row>
    <row r="40" spans="11:13" x14ac:dyDescent="0.25">
      <c r="K40" t="s">
        <v>547</v>
      </c>
      <c r="L40" t="s">
        <v>238</v>
      </c>
      <c r="M40">
        <v>1</v>
      </c>
    </row>
    <row r="41" spans="11:13" x14ac:dyDescent="0.25">
      <c r="K41" t="s">
        <v>579</v>
      </c>
      <c r="L41" t="s">
        <v>245</v>
      </c>
      <c r="M41">
        <v>2</v>
      </c>
    </row>
    <row r="42" spans="11:13" x14ac:dyDescent="0.25">
      <c r="K42" t="s">
        <v>577</v>
      </c>
      <c r="L42" t="s">
        <v>238</v>
      </c>
      <c r="M42">
        <v>2</v>
      </c>
    </row>
    <row r="43" spans="11:13" x14ac:dyDescent="0.25">
      <c r="K43" t="s">
        <v>582</v>
      </c>
      <c r="L43" t="s">
        <v>238</v>
      </c>
      <c r="M43">
        <v>3</v>
      </c>
    </row>
    <row r="44" spans="11:13" x14ac:dyDescent="0.25">
      <c r="K44" t="s">
        <v>511</v>
      </c>
      <c r="L44" t="s">
        <v>237</v>
      </c>
      <c r="M44">
        <v>0</v>
      </c>
    </row>
    <row r="45" spans="11:13" x14ac:dyDescent="0.25">
      <c r="K45" t="s">
        <v>548</v>
      </c>
      <c r="L45" t="s">
        <v>237</v>
      </c>
      <c r="M45">
        <v>1</v>
      </c>
    </row>
    <row r="46" spans="11:13" x14ac:dyDescent="0.25">
      <c r="K46" t="s">
        <v>578</v>
      </c>
      <c r="L46" t="s">
        <v>237</v>
      </c>
      <c r="M46">
        <v>2</v>
      </c>
    </row>
    <row r="47" spans="11:13" x14ac:dyDescent="0.25">
      <c r="K47" t="s">
        <v>583</v>
      </c>
      <c r="L47" t="s">
        <v>237</v>
      </c>
      <c r="M47">
        <v>3</v>
      </c>
    </row>
    <row r="48" spans="11:13" x14ac:dyDescent="0.25">
      <c r="K48" t="s">
        <v>512</v>
      </c>
      <c r="L48" t="s">
        <v>245</v>
      </c>
      <c r="M48">
        <v>0</v>
      </c>
    </row>
    <row r="49" spans="11:13" x14ac:dyDescent="0.25">
      <c r="K49" t="s">
        <v>549</v>
      </c>
      <c r="L49" t="s">
        <v>245</v>
      </c>
      <c r="M49">
        <v>1</v>
      </c>
    </row>
    <row r="50" spans="11:13" x14ac:dyDescent="0.25">
      <c r="K50" t="s">
        <v>510</v>
      </c>
      <c r="L50" t="s">
        <v>238</v>
      </c>
      <c r="M50">
        <v>0</v>
      </c>
    </row>
    <row r="51" spans="11:13" x14ac:dyDescent="0.25">
      <c r="K51" t="s">
        <v>563</v>
      </c>
      <c r="L51" t="s">
        <v>465</v>
      </c>
      <c r="M51">
        <v>1</v>
      </c>
    </row>
    <row r="52" spans="11:13" x14ac:dyDescent="0.25">
      <c r="K52" t="s">
        <v>520</v>
      </c>
      <c r="L52" t="s">
        <v>459</v>
      </c>
      <c r="M52">
        <v>0</v>
      </c>
    </row>
    <row r="53" spans="11:13" x14ac:dyDescent="0.25">
      <c r="K53" t="s">
        <v>557</v>
      </c>
      <c r="L53" t="s">
        <v>459</v>
      </c>
      <c r="M53">
        <v>1</v>
      </c>
    </row>
    <row r="54" spans="11:13" x14ac:dyDescent="0.25">
      <c r="K54" t="s">
        <v>521</v>
      </c>
      <c r="L54" t="s">
        <v>460</v>
      </c>
      <c r="M54">
        <v>0</v>
      </c>
    </row>
    <row r="55" spans="11:13" x14ac:dyDescent="0.25">
      <c r="K55" t="s">
        <v>558</v>
      </c>
      <c r="L55" t="s">
        <v>460</v>
      </c>
      <c r="M55">
        <v>1</v>
      </c>
    </row>
    <row r="56" spans="11:13" x14ac:dyDescent="0.25">
      <c r="K56" t="s">
        <v>536</v>
      </c>
      <c r="L56" t="s">
        <v>473</v>
      </c>
      <c r="M56">
        <v>0</v>
      </c>
    </row>
    <row r="57" spans="11:13" x14ac:dyDescent="0.25">
      <c r="K57" t="s">
        <v>568</v>
      </c>
      <c r="L57" t="s">
        <v>417</v>
      </c>
      <c r="M57">
        <v>1</v>
      </c>
    </row>
    <row r="58" spans="11:13" x14ac:dyDescent="0.25">
      <c r="K58" t="s">
        <v>534</v>
      </c>
      <c r="L58" t="s">
        <v>471</v>
      </c>
      <c r="M58">
        <v>0</v>
      </c>
    </row>
    <row r="59" spans="11:13" x14ac:dyDescent="0.25">
      <c r="K59" t="s">
        <v>569</v>
      </c>
      <c r="L59" t="s">
        <v>471</v>
      </c>
      <c r="M59">
        <v>1</v>
      </c>
    </row>
    <row r="60" spans="11:13" x14ac:dyDescent="0.25">
      <c r="K60" t="s">
        <v>535</v>
      </c>
      <c r="L60" t="s">
        <v>472</v>
      </c>
      <c r="M60">
        <v>0</v>
      </c>
    </row>
    <row r="61" spans="11:13" x14ac:dyDescent="0.25">
      <c r="K61" t="s">
        <v>570</v>
      </c>
      <c r="L61" t="s">
        <v>472</v>
      </c>
      <c r="M61">
        <v>1</v>
      </c>
    </row>
    <row r="62" spans="11:13" x14ac:dyDescent="0.25">
      <c r="K62" t="s">
        <v>530</v>
      </c>
      <c r="L62" t="s">
        <v>469</v>
      </c>
      <c r="M62">
        <v>0</v>
      </c>
    </row>
    <row r="63" spans="11:13" x14ac:dyDescent="0.25">
      <c r="K63" t="s">
        <v>565</v>
      </c>
      <c r="L63" t="s">
        <v>469</v>
      </c>
      <c r="M63">
        <v>1</v>
      </c>
    </row>
    <row r="64" spans="11:13" x14ac:dyDescent="0.25">
      <c r="K64" t="s">
        <v>531</v>
      </c>
      <c r="L64" t="s">
        <v>415</v>
      </c>
      <c r="M64">
        <v>0</v>
      </c>
    </row>
    <row r="65" spans="11:13" x14ac:dyDescent="0.25">
      <c r="K65" t="s">
        <v>566</v>
      </c>
      <c r="L65" t="s">
        <v>415</v>
      </c>
      <c r="M65">
        <v>1</v>
      </c>
    </row>
    <row r="66" spans="11:13" x14ac:dyDescent="0.25">
      <c r="K66" t="s">
        <v>532</v>
      </c>
      <c r="L66" t="s">
        <v>416</v>
      </c>
      <c r="M66">
        <v>0</v>
      </c>
    </row>
    <row r="67" spans="11:13" x14ac:dyDescent="0.25">
      <c r="K67" t="s">
        <v>567</v>
      </c>
      <c r="L67" t="s">
        <v>416</v>
      </c>
      <c r="M67">
        <v>1</v>
      </c>
    </row>
    <row r="68" spans="11:13" x14ac:dyDescent="0.25">
      <c r="K68" t="s">
        <v>533</v>
      </c>
      <c r="L68" t="s">
        <v>417</v>
      </c>
      <c r="M68">
        <v>0</v>
      </c>
    </row>
    <row r="69" spans="11:13" x14ac:dyDescent="0.25">
      <c r="K69" t="s">
        <v>562</v>
      </c>
      <c r="L69" t="s">
        <v>464</v>
      </c>
      <c r="M69">
        <v>1</v>
      </c>
    </row>
    <row r="70" spans="11:13" x14ac:dyDescent="0.25">
      <c r="K70" t="s">
        <v>526</v>
      </c>
      <c r="L70" t="s">
        <v>465</v>
      </c>
      <c r="M70">
        <v>0</v>
      </c>
    </row>
    <row r="71" spans="11:13" x14ac:dyDescent="0.25">
      <c r="K71" t="s">
        <v>527</v>
      </c>
      <c r="L71" t="s">
        <v>466</v>
      </c>
      <c r="M71">
        <v>0</v>
      </c>
    </row>
    <row r="72" spans="11:13" x14ac:dyDescent="0.25">
      <c r="K72" t="s">
        <v>564</v>
      </c>
      <c r="L72" t="s">
        <v>466</v>
      </c>
      <c r="M72">
        <v>1</v>
      </c>
    </row>
    <row r="73" spans="11:13" x14ac:dyDescent="0.25">
      <c r="K73" t="s">
        <v>519</v>
      </c>
      <c r="L73" t="s">
        <v>458</v>
      </c>
      <c r="M73">
        <v>0</v>
      </c>
    </row>
    <row r="74" spans="11:13" x14ac:dyDescent="0.25">
      <c r="K74" t="s">
        <v>601</v>
      </c>
      <c r="L74" t="s">
        <v>458</v>
      </c>
      <c r="M74">
        <v>1</v>
      </c>
    </row>
    <row r="75" spans="11:13" x14ac:dyDescent="0.25">
      <c r="K75" t="s">
        <v>528</v>
      </c>
      <c r="L75" t="s">
        <v>467</v>
      </c>
      <c r="M75">
        <v>0</v>
      </c>
    </row>
    <row r="76" spans="11:13" x14ac:dyDescent="0.25">
      <c r="K76" t="s">
        <v>550</v>
      </c>
      <c r="L76" t="s">
        <v>294</v>
      </c>
      <c r="M76">
        <v>1</v>
      </c>
    </row>
    <row r="77" spans="11:13" x14ac:dyDescent="0.25">
      <c r="K77" t="s">
        <v>580</v>
      </c>
      <c r="L77" t="s">
        <v>294</v>
      </c>
      <c r="M77">
        <v>2</v>
      </c>
    </row>
    <row r="78" spans="11:13" x14ac:dyDescent="0.25">
      <c r="K78" t="s">
        <v>603</v>
      </c>
      <c r="L78" t="s">
        <v>467</v>
      </c>
      <c r="M78">
        <v>1</v>
      </c>
    </row>
  </sheetData>
  <sortState xmlns:xlrd2="http://schemas.microsoft.com/office/spreadsheetml/2017/richdata2" ref="P2:P20">
    <sortCondition ref="P2:P20"/>
  </sortState>
  <pageMargins left="0.7" right="0.7" top="0.75" bottom="0.75" header="0.3" footer="0.3"/>
  <tableParts count="5">
    <tablePart r:id="rId1"/>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5272-0114-4DD5-881C-78577EBF07C4}">
  <dimension ref="A1:H18"/>
  <sheetViews>
    <sheetView tabSelected="1" workbookViewId="0">
      <selection activeCell="B6" sqref="B6"/>
    </sheetView>
  </sheetViews>
  <sheetFormatPr defaultRowHeight="15.75" x14ac:dyDescent="0.25"/>
  <cols>
    <col min="1" max="1" width="21.25" bestFit="1" customWidth="1"/>
    <col min="2" max="2" width="6.25" customWidth="1"/>
    <col min="3" max="3" width="8" customWidth="1"/>
    <col min="4" max="5" width="12.125" bestFit="1" customWidth="1"/>
    <col min="7" max="7" width="16.375" customWidth="1"/>
    <col min="8" max="8" width="15" customWidth="1"/>
  </cols>
  <sheetData>
    <row r="1" spans="1:8" x14ac:dyDescent="0.25">
      <c r="A1" t="s">
        <v>182</v>
      </c>
      <c r="B1" t="s">
        <v>457</v>
      </c>
      <c r="C1" t="s">
        <v>455</v>
      </c>
      <c r="D1" t="s">
        <v>187</v>
      </c>
      <c r="E1" t="s">
        <v>456</v>
      </c>
      <c r="G1" t="s">
        <v>453</v>
      </c>
      <c r="H1" t="s">
        <v>454</v>
      </c>
    </row>
    <row r="2" spans="1:8" x14ac:dyDescent="0.25">
      <c r="A2" t="s">
        <v>452</v>
      </c>
      <c r="B2">
        <v>1</v>
      </c>
      <c r="C2">
        <v>10</v>
      </c>
      <c r="D2" t="str">
        <f>subnetStart&amp;IPConfig[[#This Row],[Start]]</f>
        <v>192.168.10.1</v>
      </c>
      <c r="E2" t="str">
        <f>subnetStart&amp;(IPConfig[[#This Row],[Start]]+IPConfig[[#This Row],[Length]]-1)</f>
        <v>192.168.10.10</v>
      </c>
    </row>
    <row r="3" spans="1:8" x14ac:dyDescent="0.25">
      <c r="A3" t="s">
        <v>183</v>
      </c>
      <c r="B3">
        <v>11</v>
      </c>
      <c r="C3">
        <v>40</v>
      </c>
      <c r="D3" t="str">
        <f>subnetStart&amp;IPConfig[[#This Row],[Start]]</f>
        <v>192.168.10.11</v>
      </c>
      <c r="E3" t="str">
        <f>subnetStart&amp;(IPConfig[[#This Row],[Start]]+IPConfig[[#This Row],[Length]]-1)</f>
        <v>192.168.10.50</v>
      </c>
    </row>
    <row r="4" spans="1:8" x14ac:dyDescent="0.25">
      <c r="A4" t="s">
        <v>184</v>
      </c>
      <c r="B4">
        <v>51</v>
      </c>
      <c r="C4">
        <v>13</v>
      </c>
      <c r="D4" t="str">
        <f>subnetStart&amp;IPConfig[[#This Row],[Start]]</f>
        <v>192.168.10.51</v>
      </c>
      <c r="E4" t="str">
        <f>subnetStart&amp;(IPConfig[[#This Row],[Start]]+IPConfig[[#This Row],[Length]]-1)</f>
        <v>192.168.10.63</v>
      </c>
    </row>
    <row r="5" spans="1:8" x14ac:dyDescent="0.25">
      <c r="A5" t="s">
        <v>656</v>
      </c>
      <c r="B5">
        <v>64</v>
      </c>
      <c r="C5">
        <v>1</v>
      </c>
      <c r="D5" t="str">
        <f>subnetStart&amp;IPConfig[[#This Row],[Start]]</f>
        <v>192.168.10.64</v>
      </c>
      <c r="E5" t="str">
        <f>subnetStart&amp;(IPConfig[[#This Row],[Start]]+IPConfig[[#This Row],[Length]]-1)</f>
        <v>192.168.10.64</v>
      </c>
    </row>
    <row r="6" spans="1:8" x14ac:dyDescent="0.25">
      <c r="A6" t="s">
        <v>707</v>
      </c>
      <c r="B6">
        <v>65</v>
      </c>
      <c r="C6">
        <v>1</v>
      </c>
      <c r="D6" s="9" t="str">
        <f>subnetStart&amp;IPConfig[[#This Row],[Start]]</f>
        <v>192.168.10.65</v>
      </c>
      <c r="E6" s="9" t="str">
        <f>subnetStart&amp;(IPConfig[[#This Row],[Start]]+IPConfig[[#This Row],[Length]]-1)</f>
        <v>192.168.10.65</v>
      </c>
    </row>
    <row r="7" spans="1:8" x14ac:dyDescent="0.25">
      <c r="A7" t="s">
        <v>162</v>
      </c>
      <c r="B7">
        <v>65</v>
      </c>
      <c r="C7">
        <v>5</v>
      </c>
      <c r="D7" t="str">
        <f>subnetStart&amp;IPConfig[[#This Row],[Start]]</f>
        <v>192.168.10.65</v>
      </c>
      <c r="E7" t="str">
        <f>subnetStart&amp;(IPConfig[[#This Row],[Start]]+IPConfig[[#This Row],[Length]]-1)</f>
        <v>192.168.10.69</v>
      </c>
    </row>
    <row r="8" spans="1:8" x14ac:dyDescent="0.25">
      <c r="A8" t="s">
        <v>672</v>
      </c>
      <c r="B8">
        <v>70</v>
      </c>
      <c r="C8">
        <v>20</v>
      </c>
      <c r="D8" t="str">
        <f>subnetStart&amp;IPConfig[[#This Row],[Start]]</f>
        <v>192.168.10.70</v>
      </c>
      <c r="E8" t="str">
        <f>subnetStart&amp;(IPConfig[[#This Row],[Start]]+IPConfig[[#This Row],[Length]]-1)</f>
        <v>192.168.10.89</v>
      </c>
    </row>
    <row r="9" spans="1:8" x14ac:dyDescent="0.25">
      <c r="A9" t="s">
        <v>706</v>
      </c>
      <c r="B9">
        <v>10</v>
      </c>
      <c r="C9">
        <v>1</v>
      </c>
      <c r="D9" t="str">
        <f>subnetStart&amp;IPConfig[[#This Row],[Start]]</f>
        <v>192.168.10.10</v>
      </c>
      <c r="E9" t="str">
        <f>subnetStart&amp;(IPConfig[[#This Row],[Start]]+IPConfig[[#This Row],[Length]]-1)</f>
        <v>192.168.10.10</v>
      </c>
    </row>
    <row r="10" spans="1:8" x14ac:dyDescent="0.25">
      <c r="G10" t="s">
        <v>657</v>
      </c>
    </row>
    <row r="11" spans="1:8" x14ac:dyDescent="0.25">
      <c r="A11" t="s">
        <v>662</v>
      </c>
      <c r="G11" t="s">
        <v>658</v>
      </c>
    </row>
    <row r="12" spans="1:8" x14ac:dyDescent="0.25">
      <c r="G12" t="s">
        <v>659</v>
      </c>
    </row>
    <row r="17" spans="1:4" x14ac:dyDescent="0.25">
      <c r="A17" t="s">
        <v>664</v>
      </c>
      <c r="B17" t="s">
        <v>663</v>
      </c>
      <c r="D17" t="s">
        <v>665</v>
      </c>
    </row>
    <row r="18" spans="1:4" x14ac:dyDescent="0.25">
      <c r="A18" t="s">
        <v>666</v>
      </c>
      <c r="B18" t="s">
        <v>667</v>
      </c>
      <c r="D18" t="s">
        <v>668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D32D6-441B-4E7D-9BE6-3DB8169ACBE2}">
  <dimension ref="A1:C21"/>
  <sheetViews>
    <sheetView workbookViewId="0">
      <selection activeCell="C9" sqref="C9"/>
    </sheetView>
  </sheetViews>
  <sheetFormatPr defaultRowHeight="15.75" x14ac:dyDescent="0.25"/>
  <cols>
    <col min="1" max="1" width="15" bestFit="1" customWidth="1"/>
    <col min="2" max="2" width="14.375" customWidth="1"/>
    <col min="3" max="3" width="10.125" customWidth="1"/>
  </cols>
  <sheetData>
    <row r="1" spans="1:3" x14ac:dyDescent="0.25">
      <c r="A1" t="s">
        <v>173</v>
      </c>
      <c r="B1" t="s">
        <v>175</v>
      </c>
      <c r="C1" t="s">
        <v>174</v>
      </c>
    </row>
    <row r="2" spans="1:3" x14ac:dyDescent="0.25">
      <c r="A2" t="s">
        <v>162</v>
      </c>
      <c r="B2" t="s">
        <v>118</v>
      </c>
      <c r="C2" t="s">
        <v>155</v>
      </c>
    </row>
    <row r="3" spans="1:3" x14ac:dyDescent="0.25">
      <c r="A3" t="s">
        <v>179</v>
      </c>
      <c r="B3" t="s">
        <v>176</v>
      </c>
      <c r="C3" t="s">
        <v>158</v>
      </c>
    </row>
    <row r="4" spans="1:3" x14ac:dyDescent="0.25">
      <c r="A4" t="s">
        <v>180</v>
      </c>
      <c r="B4" t="s">
        <v>177</v>
      </c>
      <c r="C4" t="s">
        <v>181</v>
      </c>
    </row>
    <row r="5" spans="1:3" x14ac:dyDescent="0.25">
      <c r="A5" t="s">
        <v>121</v>
      </c>
      <c r="B5" t="s">
        <v>176</v>
      </c>
      <c r="C5" t="s">
        <v>165</v>
      </c>
    </row>
    <row r="6" spans="1:3" x14ac:dyDescent="0.25">
      <c r="A6" t="s">
        <v>122</v>
      </c>
      <c r="B6" t="s">
        <v>176</v>
      </c>
      <c r="C6" t="s">
        <v>166</v>
      </c>
    </row>
    <row r="7" spans="1:3" x14ac:dyDescent="0.25">
      <c r="A7" t="s">
        <v>123</v>
      </c>
      <c r="B7" t="s">
        <v>176</v>
      </c>
      <c r="C7" t="s">
        <v>167</v>
      </c>
    </row>
    <row r="8" spans="1:3" x14ac:dyDescent="0.25">
      <c r="A8" t="s">
        <v>124</v>
      </c>
      <c r="B8" t="s">
        <v>176</v>
      </c>
      <c r="C8" t="s">
        <v>157</v>
      </c>
    </row>
    <row r="9" spans="1:3" x14ac:dyDescent="0.25">
      <c r="A9" t="s">
        <v>125</v>
      </c>
      <c r="B9" t="s">
        <v>176</v>
      </c>
      <c r="C9" t="s">
        <v>163</v>
      </c>
    </row>
    <row r="10" spans="1:3" x14ac:dyDescent="0.25">
      <c r="A10" t="s">
        <v>126</v>
      </c>
      <c r="B10" t="s">
        <v>176</v>
      </c>
      <c r="C10" t="s">
        <v>164</v>
      </c>
    </row>
    <row r="11" spans="1:3" x14ac:dyDescent="0.25">
      <c r="A11" t="s">
        <v>127</v>
      </c>
      <c r="B11" t="s">
        <v>176</v>
      </c>
      <c r="C11" t="s">
        <v>156</v>
      </c>
    </row>
    <row r="12" spans="1:3" x14ac:dyDescent="0.25">
      <c r="A12" t="s">
        <v>128</v>
      </c>
      <c r="B12" t="s">
        <v>176</v>
      </c>
      <c r="C12" t="s">
        <v>178</v>
      </c>
    </row>
    <row r="13" spans="1:3" x14ac:dyDescent="0.25">
      <c r="A13" t="s">
        <v>129</v>
      </c>
      <c r="B13" t="s">
        <v>177</v>
      </c>
      <c r="C13" t="s">
        <v>153</v>
      </c>
    </row>
    <row r="14" spans="1:3" x14ac:dyDescent="0.25">
      <c r="A14" t="s">
        <v>130</v>
      </c>
      <c r="B14" t="s">
        <v>177</v>
      </c>
      <c r="C14" t="s">
        <v>154</v>
      </c>
    </row>
    <row r="15" spans="1:3" x14ac:dyDescent="0.25">
      <c r="A15" t="s">
        <v>131</v>
      </c>
      <c r="B15" t="s">
        <v>177</v>
      </c>
      <c r="C15" t="s">
        <v>159</v>
      </c>
    </row>
    <row r="16" spans="1:3" x14ac:dyDescent="0.25">
      <c r="A16" t="s">
        <v>132</v>
      </c>
      <c r="B16" t="s">
        <v>177</v>
      </c>
      <c r="C16" t="s">
        <v>160</v>
      </c>
    </row>
    <row r="17" spans="1:3" x14ac:dyDescent="0.25">
      <c r="A17" t="s">
        <v>133</v>
      </c>
      <c r="B17" t="s">
        <v>177</v>
      </c>
      <c r="C17" t="s">
        <v>169</v>
      </c>
    </row>
    <row r="18" spans="1:3" x14ac:dyDescent="0.25">
      <c r="A18" t="s">
        <v>134</v>
      </c>
      <c r="B18" t="s">
        <v>177</v>
      </c>
      <c r="C18" t="s">
        <v>168</v>
      </c>
    </row>
    <row r="19" spans="1:3" x14ac:dyDescent="0.25">
      <c r="A19" t="s">
        <v>135</v>
      </c>
      <c r="B19" t="s">
        <v>177</v>
      </c>
      <c r="C19" t="s">
        <v>170</v>
      </c>
    </row>
    <row r="20" spans="1:3" x14ac:dyDescent="0.25">
      <c r="A20" t="s">
        <v>120</v>
      </c>
      <c r="B20" t="s">
        <v>177</v>
      </c>
      <c r="C20" t="s">
        <v>171</v>
      </c>
    </row>
    <row r="21" spans="1:3" x14ac:dyDescent="0.25">
      <c r="A21" t="s">
        <v>119</v>
      </c>
      <c r="B21" t="s">
        <v>177</v>
      </c>
      <c r="C21" t="s">
        <v>172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F163B-F4B9-4C06-9B08-C74724195845}">
  <dimension ref="A1:H7"/>
  <sheetViews>
    <sheetView workbookViewId="0">
      <selection activeCell="F4" sqref="F4"/>
    </sheetView>
  </sheetViews>
  <sheetFormatPr defaultRowHeight="15.75" x14ac:dyDescent="0.25"/>
  <cols>
    <col min="1" max="1" width="36.5" bestFit="1" customWidth="1"/>
    <col min="2" max="2" width="6.75" bestFit="1" customWidth="1"/>
    <col min="4" max="4" width="5.125" bestFit="1" customWidth="1"/>
    <col min="5" max="5" width="11.75" bestFit="1" customWidth="1"/>
    <col min="6" max="6" width="20" bestFit="1" customWidth="1"/>
    <col min="7" max="7" width="13.375" bestFit="1" customWidth="1"/>
    <col min="8" max="8" width="48.625" bestFit="1" customWidth="1"/>
  </cols>
  <sheetData>
    <row r="1" spans="1:8" x14ac:dyDescent="0.25">
      <c r="A1" t="s">
        <v>428</v>
      </c>
      <c r="B1" t="s">
        <v>114</v>
      </c>
      <c r="C1" t="s">
        <v>418</v>
      </c>
      <c r="D1" t="s">
        <v>419</v>
      </c>
      <c r="E1" t="s">
        <v>420</v>
      </c>
      <c r="F1" t="s">
        <v>421</v>
      </c>
      <c r="G1" t="s">
        <v>426</v>
      </c>
      <c r="H1" t="s">
        <v>425</v>
      </c>
    </row>
    <row r="2" spans="1:8" x14ac:dyDescent="0.25">
      <c r="A2" t="s">
        <v>434</v>
      </c>
      <c r="B2" t="s">
        <v>438</v>
      </c>
      <c r="C2" t="s">
        <v>429</v>
      </c>
      <c r="D2" s="4" t="s">
        <v>430</v>
      </c>
      <c r="E2">
        <v>100</v>
      </c>
      <c r="H2" t="str">
        <f>"http://[ip]/rpc/"&amp;StateSets[[#This Row],[type]]&amp;".Set?id="&amp;StateSets[[#This Row],[id]]&amp;"&amp;on="&amp;StateSets[[#This Row],[on]]&amp; IF(StateSets[[#This Row],[brightness]]&gt;0, "&amp;brightness="&amp;StateSets[[#This Row],[brightness]], "") &amp; IF(StateSets[[#This Row],[transition_duration]]&gt;0, "&amp;transition_duration=" &amp; StateSets[[#This Row],[transition_duration]], "") &amp; IF(StateSets[[#This Row],[toggle_after]]&gt;0, "&amp;toggle_after=" &amp; StateSets[[#This Row],[toggle_after]], "")</f>
        <v>http://[ip]/rpc/Light.Set?id=[id]&amp;on=true&amp;brightness=100</v>
      </c>
    </row>
    <row r="3" spans="1:8" x14ac:dyDescent="0.25">
      <c r="A3" t="s">
        <v>431</v>
      </c>
      <c r="B3" t="s">
        <v>438</v>
      </c>
      <c r="C3" t="s">
        <v>429</v>
      </c>
      <c r="D3" s="4" t="s">
        <v>430</v>
      </c>
      <c r="E3">
        <v>60</v>
      </c>
      <c r="H3" t="str">
        <f>"http://[ip]/rpc/"&amp;StateSets[[#This Row],[type]]&amp;".Set?id="&amp;StateSets[[#This Row],[id]]&amp;"&amp;on="&amp;StateSets[[#This Row],[on]]&amp; IF(StateSets[[#This Row],[brightness]]&gt;0, "&amp;brightness="&amp;StateSets[[#This Row],[brightness]], "") &amp; IF(StateSets[[#This Row],[transition_duration]]&gt;0, "&amp;transition_duration=" &amp; StateSets[[#This Row],[transition_duration]], "") &amp; IF(StateSets[[#This Row],[toggle_after]]&gt;0, "&amp;toggle_after=" &amp; StateSets[[#This Row],[toggle_after]], "")</f>
        <v>http://[ip]/rpc/Light.Set?id=[id]&amp;on=true&amp;brightness=60</v>
      </c>
    </row>
    <row r="4" spans="1:8" x14ac:dyDescent="0.25">
      <c r="A4" t="s">
        <v>435</v>
      </c>
      <c r="B4" t="s">
        <v>438</v>
      </c>
      <c r="C4" t="s">
        <v>429</v>
      </c>
      <c r="D4" s="4" t="s">
        <v>430</v>
      </c>
      <c r="E4">
        <v>30</v>
      </c>
      <c r="H4" t="str">
        <f>"http://[ip]/rpc/"&amp;StateSets[[#This Row],[type]]&amp;".Set?id="&amp;StateSets[[#This Row],[id]]&amp;"&amp;on="&amp;StateSets[[#This Row],[on]]&amp; IF(StateSets[[#This Row],[brightness]]&gt;0, "&amp;brightness="&amp;StateSets[[#This Row],[brightness]], "") &amp; IF(StateSets[[#This Row],[transition_duration]]&gt;0, "&amp;transition_duration=" &amp; StateSets[[#This Row],[transition_duration]], "") &amp; IF(StateSets[[#This Row],[toggle_after]]&gt;0, "&amp;toggle_after=" &amp; StateSets[[#This Row],[toggle_after]], "")</f>
        <v>http://[ip]/rpc/Light.Set?id=[id]&amp;on=true&amp;brightness=30</v>
      </c>
    </row>
    <row r="5" spans="1:8" x14ac:dyDescent="0.25">
      <c r="A5" t="s">
        <v>432</v>
      </c>
      <c r="B5" t="s">
        <v>438</v>
      </c>
      <c r="C5" t="s">
        <v>429</v>
      </c>
      <c r="D5" s="4" t="s">
        <v>433</v>
      </c>
      <c r="E5">
        <v>0</v>
      </c>
      <c r="H5" t="str">
        <f>"http://[ip]/rpc/"&amp;StateSets[[#This Row],[type]]&amp;".Set?id="&amp;StateSets[[#This Row],[id]]&amp;"&amp;on="&amp;StateSets[[#This Row],[on]]&amp; IF(StateSets[[#This Row],[brightness]]&gt;0, "&amp;brightness="&amp;StateSets[[#This Row],[brightness]], "") &amp; IF(StateSets[[#This Row],[transition_duration]]&gt;0, "&amp;transition_duration=" &amp; StateSets[[#This Row],[transition_duration]], "") &amp; IF(StateSets[[#This Row],[toggle_after]]&gt;0, "&amp;toggle_after=" &amp; StateSets[[#This Row],[toggle_after]], "")</f>
        <v>http://[ip]/rpc/Light.Set?id=[id]&amp;on=false</v>
      </c>
    </row>
    <row r="6" spans="1:8" x14ac:dyDescent="0.25">
      <c r="A6" t="s">
        <v>436</v>
      </c>
      <c r="B6" t="s">
        <v>199</v>
      </c>
      <c r="C6" t="s">
        <v>429</v>
      </c>
      <c r="D6" s="4" t="s">
        <v>430</v>
      </c>
      <c r="H6" t="str">
        <f>"http://[ip]/rpc/"&amp;StateSets[[#This Row],[type]]&amp;".Set?id="&amp;StateSets[[#This Row],[id]]&amp;"&amp;on="&amp;StateSets[[#This Row],[on]]&amp; IF(StateSets[[#This Row],[brightness]]&gt;0, "&amp;brightness="&amp;StateSets[[#This Row],[brightness]], "") &amp; IF(StateSets[[#This Row],[transition_duration]]&gt;0, "&amp;transition_duration=" &amp; StateSets[[#This Row],[transition_duration]], "") &amp; IF(StateSets[[#This Row],[toggle_after]]&gt;0, "&amp;toggle_after=" &amp; StateSets[[#This Row],[toggle_after]], "")</f>
        <v>http://[ip]/rpc/Switch.Set?id=[id]&amp;on=true</v>
      </c>
    </row>
    <row r="7" spans="1:8" x14ac:dyDescent="0.25">
      <c r="A7" t="s">
        <v>437</v>
      </c>
      <c r="B7" t="s">
        <v>199</v>
      </c>
      <c r="C7" t="s">
        <v>429</v>
      </c>
      <c r="D7" s="4" t="s">
        <v>433</v>
      </c>
      <c r="H7" t="str">
        <f>"http://[ip]/rpc/"&amp;StateSets[[#This Row],[type]]&amp;".Set?id="&amp;StateSets[[#This Row],[id]]&amp;"&amp;on="&amp;StateSets[[#This Row],[on]]&amp; IF(StateSets[[#This Row],[brightness]]&gt;0, "&amp;brightness="&amp;StateSets[[#This Row],[brightness]], "") &amp; IF(StateSets[[#This Row],[transition_duration]]&gt;0, "&amp;transition_duration=" &amp; StateSets[[#This Row],[transition_duration]], "") &amp; IF(StateSets[[#This Row],[toggle_after]]&gt;0, "&amp;toggle_after=" &amp; StateSets[[#This Row],[toggle_after]], "")</f>
        <v>http://[ip]/rpc/Switch.Set?id=[id]&amp;on=false</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223C0-7E00-4C6E-9C78-C48997CCCD32}">
  <dimension ref="A1:K8"/>
  <sheetViews>
    <sheetView workbookViewId="0">
      <selection activeCell="C2" sqref="C2"/>
    </sheetView>
  </sheetViews>
  <sheetFormatPr defaultRowHeight="15.75" x14ac:dyDescent="0.25"/>
  <cols>
    <col min="1" max="1" width="14.375" bestFit="1" customWidth="1"/>
    <col min="3" max="3" width="12.875" customWidth="1"/>
    <col min="4" max="4" width="13.75" bestFit="1" customWidth="1"/>
    <col min="5" max="7" width="9.875" customWidth="1"/>
  </cols>
  <sheetData>
    <row r="1" spans="1:11" x14ac:dyDescent="0.25">
      <c r="A1" t="s">
        <v>173</v>
      </c>
      <c r="B1" t="s">
        <v>439</v>
      </c>
      <c r="C1" t="s">
        <v>449</v>
      </c>
      <c r="D1" t="s">
        <v>427</v>
      </c>
      <c r="E1" t="s">
        <v>444</v>
      </c>
      <c r="F1" t="s">
        <v>404</v>
      </c>
      <c r="G1" t="s">
        <v>443</v>
      </c>
      <c r="H1" t="s">
        <v>440</v>
      </c>
      <c r="I1" t="s">
        <v>441</v>
      </c>
      <c r="J1" t="s">
        <v>442</v>
      </c>
    </row>
    <row r="2" spans="1:11" x14ac:dyDescent="0.25">
      <c r="A2" t="s">
        <v>129</v>
      </c>
      <c r="B2" t="s">
        <v>192</v>
      </c>
      <c r="C2" t="s">
        <v>445</v>
      </c>
      <c r="D2" t="s">
        <v>423</v>
      </c>
      <c r="E2">
        <f>_xlfn.XLOOKUP(Table13[[#This Row],[SwitchButton]],SwitchButtons[switch],SwitchButtons[input])</f>
        <v>0</v>
      </c>
    </row>
    <row r="8" spans="1:11" x14ac:dyDescent="0.25">
      <c r="K8" s="5" t="s">
        <v>422</v>
      </c>
    </row>
  </sheetData>
  <hyperlinks>
    <hyperlink ref="K8" r:id="rId1" xr:uid="{CA86F55C-7BAD-4E9E-A8CB-71F09DB6378A}"/>
  </hyperlinks>
  <pageMargins left="0.7" right="0.7" top="0.75" bottom="0.75" header="0.3" footer="0.3"/>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D7CBC-7283-474A-918D-89FE0F9A2C29}">
  <dimension ref="A1:C3"/>
  <sheetViews>
    <sheetView workbookViewId="0">
      <selection activeCell="C3" sqref="C3"/>
    </sheetView>
  </sheetViews>
  <sheetFormatPr defaultRowHeight="15.75" x14ac:dyDescent="0.25"/>
  <sheetData>
    <row r="1" spans="1:3" x14ac:dyDescent="0.25">
      <c r="A1" t="s">
        <v>694</v>
      </c>
    </row>
    <row r="2" spans="1:3" x14ac:dyDescent="0.25">
      <c r="B2" t="s">
        <v>695</v>
      </c>
    </row>
    <row r="3" spans="1:3" x14ac:dyDescent="0.25">
      <c r="C3" t="s">
        <v>696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4645D-E2F0-4933-A49A-B94F048059E9}">
  <dimension ref="A2:D7"/>
  <sheetViews>
    <sheetView workbookViewId="0">
      <selection activeCell="A7" sqref="A7"/>
    </sheetView>
  </sheetViews>
  <sheetFormatPr defaultRowHeight="15.75" x14ac:dyDescent="0.25"/>
  <cols>
    <col min="1" max="1" width="15.5" customWidth="1"/>
    <col min="2" max="2" width="7" customWidth="1"/>
  </cols>
  <sheetData>
    <row r="2" spans="1:4" x14ac:dyDescent="0.25">
      <c r="A2" t="s">
        <v>697</v>
      </c>
      <c r="C2" t="s">
        <v>698</v>
      </c>
    </row>
    <row r="3" spans="1:4" x14ac:dyDescent="0.25">
      <c r="B3" t="s">
        <v>703</v>
      </c>
      <c r="C3" t="s">
        <v>699</v>
      </c>
      <c r="D3" t="s">
        <v>700</v>
      </c>
    </row>
    <row r="4" spans="1:4" x14ac:dyDescent="0.25">
      <c r="A4" t="s">
        <v>701</v>
      </c>
      <c r="B4" t="s">
        <v>705</v>
      </c>
      <c r="C4" s="8">
        <v>0.15</v>
      </c>
      <c r="D4" s="8">
        <v>0.18</v>
      </c>
    </row>
    <row r="5" spans="1:4" x14ac:dyDescent="0.25">
      <c r="A5" t="s">
        <v>701</v>
      </c>
      <c r="B5" t="s">
        <v>704</v>
      </c>
      <c r="C5" s="8">
        <v>0.44</v>
      </c>
      <c r="D5" s="8">
        <v>0.49</v>
      </c>
    </row>
    <row r="6" spans="1:4" x14ac:dyDescent="0.25">
      <c r="A6" t="s">
        <v>702</v>
      </c>
      <c r="B6" t="s">
        <v>705</v>
      </c>
      <c r="C6" s="8">
        <v>0.18</v>
      </c>
      <c r="D6" s="8">
        <v>0.15</v>
      </c>
    </row>
    <row r="7" spans="1:4" x14ac:dyDescent="0.25">
      <c r="A7" t="s">
        <v>702</v>
      </c>
      <c r="B7" t="s">
        <v>704</v>
      </c>
      <c r="C7" s="8">
        <v>0.38</v>
      </c>
      <c r="D7" s="8">
        <v>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Network</vt:lpstr>
      <vt:lpstr>Schedule</vt:lpstr>
      <vt:lpstr>CircuitTypes</vt:lpstr>
      <vt:lpstr>Sheet1</vt:lpstr>
      <vt:lpstr>Shelly Devices</vt:lpstr>
      <vt:lpstr>Shelly to Cable</vt:lpstr>
      <vt:lpstr>Actions</vt:lpstr>
      <vt:lpstr>Shelly Codes</vt:lpstr>
      <vt:lpstr>IP Configuration</vt:lpstr>
      <vt:lpstr>Rooms</vt:lpstr>
      <vt:lpstr>States</vt:lpstr>
      <vt:lpstr>WebHooks</vt:lpstr>
      <vt:lpstr>Energy Calcs</vt:lpstr>
      <vt:lpstr>MVHR</vt:lpstr>
      <vt:lpstr>'Shelly to Cable'!Brightness</vt:lpstr>
      <vt:lpstr>Brightness</vt:lpstr>
      <vt:lpstr>'Shelly to Cable'!circuits</vt:lpstr>
      <vt:lpstr>circuits</vt:lpstr>
      <vt:lpstr>'Shelly to Cable'!Events</vt:lpstr>
      <vt:lpstr>Events</vt:lpstr>
      <vt:lpstr>subnetStart</vt:lpstr>
      <vt:lpstr>'Shelly to Cable'!Trigger</vt:lpstr>
      <vt:lpstr>Trigger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McCleave</dc:creator>
  <cp:lastModifiedBy>Danny Crone</cp:lastModifiedBy>
  <cp:lastPrinted>2025-07-15T11:08:07Z</cp:lastPrinted>
  <dcterms:created xsi:type="dcterms:W3CDTF">2018-03-19T14:05:49Z</dcterms:created>
  <dcterms:modified xsi:type="dcterms:W3CDTF">2026-06-05T20:23:15Z</dcterms:modified>
</cp:coreProperties>
</file>